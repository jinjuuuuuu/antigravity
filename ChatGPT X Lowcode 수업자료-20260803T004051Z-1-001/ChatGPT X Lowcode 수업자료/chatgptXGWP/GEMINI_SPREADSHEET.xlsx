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실습시트" sheetId="1" r:id="rId5"/>
    <sheet state="visible" name="해답포함" sheetId="2" r:id="rId6"/>
  </sheets>
  <definedNames/>
  <calcPr/>
</workbook>
</file>

<file path=xl/sharedStrings.xml><?xml version="1.0" encoding="utf-8"?>
<sst xmlns="http://schemas.openxmlformats.org/spreadsheetml/2006/main" count="130" uniqueCount="65">
  <si>
    <t>1) 기본 사용법 GPT</t>
  </si>
  <si>
    <t xml:space="preserve"> 질문 : =AI("구글스프레드시트는 업무자동화에 어떤 영향을 미칠까?")</t>
  </si>
  <si>
    <t>2) 패턴파악하여 빈칸채우기</t>
  </si>
  <si>
    <t>질문 : B11에 수식을 넣고 싶어. A11의 텍스트에서 숫자만 뽑아내는 수식을 만들어서 직접 넣어줘</t>
  </si>
  <si>
    <t>오래된 나무아래에 50개의 도토리가 있다</t>
  </si>
  <si>
    <t>양양에 서핑을 갔는데, 서퍼가 30여명 있었다.</t>
  </si>
  <si>
    <t>50분 뒤에 만나자! 그리고 늦어도 조금은 기다려줘</t>
  </si>
  <si>
    <t>연간 240시간 소요되는 시간을 많이 줄였어요</t>
  </si>
  <si>
    <t>7명의 친구가 식사를 하고 있었다.</t>
  </si>
  <si>
    <t>오늘은 온도가 25도로 따뜻한 날이었다.</t>
  </si>
  <si>
    <t>이번 주는 총 5일간 진행되는 워크샵이다.</t>
  </si>
  <si>
    <t>이번 달에는 총 31일이 있다.</t>
  </si>
  <si>
    <t>이번 주는 총 3개의 과제가 있다.</t>
  </si>
  <si>
    <t>이번 달에는 총 12개의 일정이 있다.</t>
  </si>
  <si>
    <t>이번 주는 총 7개의 수업이 있다.</t>
  </si>
  <si>
    <t>이번 달에는 총 30개의 날이 있습니다.</t>
  </si>
  <si>
    <t>이번 주는 총 4개의 프로젝트가 있다.</t>
  </si>
  <si>
    <t>이번 달에는 총 24개의 시간이 있다.</t>
  </si>
  <si>
    <t>질문 : =AI(a29&amp;"나라에서 '사랑해'라는 말을 그 나라의 언어로 만들어줘")</t>
  </si>
  <si>
    <t>대한민국</t>
  </si>
  <si>
    <t>미국</t>
  </si>
  <si>
    <t>중국어</t>
  </si>
  <si>
    <t>일본어</t>
  </si>
  <si>
    <t>독일</t>
  </si>
  <si>
    <t>프랑스</t>
  </si>
  <si>
    <t>영국</t>
  </si>
  <si>
    <t>스페인</t>
  </si>
  <si>
    <t>가나</t>
  </si>
  <si>
    <t>이집트</t>
  </si>
  <si>
    <t>몽골</t>
  </si>
  <si>
    <t>러시아</t>
  </si>
  <si>
    <t>불만사항</t>
  </si>
  <si>
    <t>응대방법</t>
  </si>
  <si>
    <t>청소기 배터리가 너무 빨리 닳아요.
30분도 못가서 배터리를 계속 충전해야 해요.</t>
  </si>
  <si>
    <t>정말 불편하셨을 것 같습니다. 배터리 문제는 보통 사용시간이 지나면서 발생할 수 있습니다. 그러나 사용 초기에 이런 문제가 발생한다면, 저희가 배터리를 교체해드리도록 하겠습니다.</t>
  </si>
  <si>
    <t>청소기 흡입력이 매우 약해요.
바닥에 있는 먼지를 제대로 빨아들이지 못해요.</t>
  </si>
  <si>
    <t>청소기 필터를 청소하기 너무 어려워요.
매번 청소하고 나면 온몸에 먼지가 다 붙어요.</t>
  </si>
  <si>
    <t>청소기 충전기가 고장 났어요. 충전이 안돼요.</t>
  </si>
  <si>
    <t>미션_소프트웨어 테스트 미션</t>
  </si>
  <si>
    <t>기능명</t>
  </si>
  <si>
    <t>테스트 조건</t>
  </si>
  <si>
    <t>테스트 환경</t>
  </si>
  <si>
    <t>프롬프트</t>
  </si>
  <si>
    <t>AI 생성 테스트 케이스</t>
  </si>
  <si>
    <t>테스트 종류</t>
  </si>
  <si>
    <t>결제 모듈</t>
  </si>
  <si>
    <t>해외 신용카드 결제 및 환율 변동</t>
  </si>
  <si>
    <t>모바일 앱 (iOS/Android)</t>
  </si>
  <si>
    <t>"A열의 기능을 B열의 조건과 C열의 환경에서 테스트하기 위한 구체적인 시나리오를 작성해줘."</t>
  </si>
  <si>
    <t>통합/보안 테스트</t>
  </si>
  <si>
    <t>파일 업로드</t>
  </si>
  <si>
    <t>2GB 초과 대용량 파일 및 특수 확장자</t>
  </si>
  <si>
    <t>웹 브라우저 (Chrome)</t>
  </si>
  <si>
    <t>"B열의 상황에서 C열 환경을 사용할 때의 성능 임계값 및 업로드 성공 여부를 확인하는 케이스를 생성해줘."</t>
  </si>
  <si>
    <t>성능/부하 테스트</t>
  </si>
  <si>
    <t>실시간 채팅</t>
  </si>
  <si>
    <t>네트워크 전환(WiFi ↔ LTE) 및 지연</t>
  </si>
  <si>
    <t>스마트폰 앱</t>
  </si>
  <si>
    <t>"통신 환경이 불안정한 상황에서 메시지 전송 보장 및 재시도 메커니즘을 검증하는 예외 처리 시나리오를 설계해줘."</t>
  </si>
  <si>
    <t>예외 처리 테스트</t>
  </si>
  <si>
    <t>데이터 대시보드</t>
  </si>
  <si>
    <t>실시간 1만 건 이상의 대량 데이터 로드</t>
  </si>
  <si>
    <t>저사양 PC 브라우저</t>
  </si>
  <si>
    <t>"대량의 데이터 렌더링 시 브라우저 응답 속도 및 메모리 누수를 체크하기 위한 테스트 케이스를 도출해줘."</t>
  </si>
  <si>
    <t>호환성/성능 테스트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</si>
</sst>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9.0"/>
      <color theme="1"/>
      <name val="Pretendard"/>
    </font>
    <font>
      <sz val="9.0"/>
      <color theme="1"/>
      <name val="Pretendard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</border>
    <border>
      <left style="thin">
        <color rgb="FFD9D9E3"/>
      </left>
      <right style="thin">
        <color rgb="FFD9D9E3"/>
      </right>
      <top style="thin">
        <color rgb="FFD9D9E3"/>
      </top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4" fillId="3" fontId="1" numFmtId="0" xfId="0" applyAlignment="1" applyBorder="1" applyFill="1" applyFont="1">
      <alignment vertical="bottom"/>
    </xf>
    <xf borderId="4" fillId="3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0" fontId="4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8" fillId="0" fontId="1" numFmtId="0" xfId="0" applyBorder="1" applyFont="1"/>
    <xf borderId="9" fillId="0" fontId="3" numFmtId="0" xfId="0" applyBorder="1" applyFont="1"/>
    <xf borderId="0" fillId="0" fontId="6" numFmtId="0" xfId="0" applyAlignment="1" applyFont="1">
      <alignment readingOrder="0"/>
    </xf>
    <xf borderId="7" fillId="0" fontId="1" numFmtId="0" xfId="0" applyBorder="1" applyFont="1"/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해답포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실습시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4:F58" displayName="표2" name="표2" id="2">
  <tableColumns count="6">
    <tableColumn name="기능명" id="1"/>
    <tableColumn name="테스트 조건" id="2"/>
    <tableColumn name="테스트 환경" id="3"/>
    <tableColumn name="프롬프트" id="4"/>
    <tableColumn name="AI 생성 테스트 케이스" id="5"/>
    <tableColumn name="테스트 종류" id="6"/>
  </tableColumns>
  <tableStyleInfo name="실습시트-style" showColumnStripes="0" showFirstColumn="1" showLastColumn="1" showRowStripes="1"/>
</table>
</file>

<file path=xl/tables/table2.xml><?xml version="1.0" encoding="utf-8"?>
<table xmlns="http://schemas.openxmlformats.org/spreadsheetml/2006/main" ref="A54:F58" displayName="표1" name="표1" id="1">
  <tableColumns count="6">
    <tableColumn name="기능명" id="1"/>
    <tableColumn name="테스트 조건" id="2"/>
    <tableColumn name="테스트 환경" id="3"/>
    <tableColumn name="프롬프트" id="4"/>
    <tableColumn name="AI 생성 테스트 케이스" id="5"/>
    <tableColumn name="테스트 종류" id="6"/>
  </tableColumns>
  <tableStyleInfo name="해답포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1.63"/>
    <col customWidth="1" min="3" max="3" width="25.25"/>
    <col customWidth="1" min="4" max="4" width="20.25"/>
    <col customWidth="1" min="5" max="6" width="37.63"/>
    <col customWidth="1" min="7" max="7" width="13.5"/>
  </cols>
  <sheetData>
    <row r="1">
      <c r="A1" s="1"/>
      <c r="B1" s="1"/>
      <c r="C1" s="1"/>
    </row>
    <row r="2">
      <c r="A2" s="1"/>
      <c r="B2" s="1"/>
      <c r="C2" s="1"/>
    </row>
    <row r="3">
      <c r="A3" s="2" t="s">
        <v>0</v>
      </c>
      <c r="B3" s="1"/>
      <c r="C3" s="1"/>
    </row>
    <row r="4">
      <c r="A4" s="3" t="s">
        <v>1</v>
      </c>
      <c r="B4" s="1"/>
      <c r="C4" s="1"/>
    </row>
    <row r="5" ht="82.5" customHeight="1">
      <c r="A5" s="4"/>
      <c r="B5" s="5"/>
      <c r="C5" s="5"/>
      <c r="D5" s="5"/>
      <c r="E5" s="6"/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7" t="s">
        <v>2</v>
      </c>
      <c r="B9" s="1"/>
      <c r="C9" s="1"/>
    </row>
    <row r="10">
      <c r="A10" s="8" t="s">
        <v>3</v>
      </c>
      <c r="B10" s="1"/>
      <c r="C10" s="1"/>
    </row>
    <row r="11">
      <c r="A11" s="9" t="s">
        <v>4</v>
      </c>
      <c r="B11" s="10"/>
      <c r="C11" s="1"/>
    </row>
    <row r="12">
      <c r="A12" s="9" t="s">
        <v>5</v>
      </c>
      <c r="B12" s="10"/>
      <c r="C12" s="1"/>
    </row>
    <row r="13">
      <c r="A13" s="9" t="s">
        <v>6</v>
      </c>
      <c r="B13" s="10"/>
      <c r="C13" s="1"/>
    </row>
    <row r="14">
      <c r="A14" s="9" t="s">
        <v>7</v>
      </c>
      <c r="B14" s="10"/>
      <c r="C14" s="1"/>
    </row>
    <row r="15">
      <c r="A15" s="1"/>
      <c r="B15" s="1"/>
      <c r="C15" s="1"/>
    </row>
    <row r="16">
      <c r="A16" s="11"/>
      <c r="B16" s="1"/>
      <c r="C16" s="1"/>
    </row>
    <row r="17" ht="16.5" customHeight="1">
      <c r="A17" s="9" t="s">
        <v>8</v>
      </c>
      <c r="B17" s="12"/>
      <c r="C17" s="1"/>
    </row>
    <row r="18" ht="16.5" customHeight="1">
      <c r="A18" s="9" t="s">
        <v>9</v>
      </c>
      <c r="B18" s="12"/>
      <c r="C18" s="1"/>
    </row>
    <row r="19" ht="16.5" customHeight="1">
      <c r="A19" s="9" t="s">
        <v>10</v>
      </c>
      <c r="B19" s="12"/>
      <c r="C19" s="1"/>
    </row>
    <row r="20" ht="16.5" customHeight="1">
      <c r="A20" s="9" t="s">
        <v>11</v>
      </c>
      <c r="B20" s="12"/>
      <c r="C20" s="1"/>
    </row>
    <row r="21" ht="16.5" customHeight="1">
      <c r="A21" s="9" t="s">
        <v>12</v>
      </c>
      <c r="B21" s="12"/>
      <c r="C21" s="1"/>
    </row>
    <row r="22" ht="16.5" customHeight="1">
      <c r="A22" s="9" t="s">
        <v>13</v>
      </c>
      <c r="B22" s="12"/>
      <c r="C22" s="1"/>
    </row>
    <row r="23" ht="16.5" customHeight="1">
      <c r="A23" s="9" t="s">
        <v>14</v>
      </c>
      <c r="B23" s="12"/>
      <c r="C23" s="1"/>
    </row>
    <row r="24" ht="16.5" customHeight="1">
      <c r="A24" s="9" t="s">
        <v>15</v>
      </c>
      <c r="B24" s="12"/>
      <c r="C24" s="1"/>
    </row>
    <row r="25" ht="16.5" customHeight="1">
      <c r="A25" s="9" t="s">
        <v>16</v>
      </c>
      <c r="B25" s="12"/>
      <c r="C25" s="1"/>
    </row>
    <row r="26" ht="16.5" customHeight="1">
      <c r="A26" s="9" t="s">
        <v>17</v>
      </c>
      <c r="B26" s="12"/>
      <c r="C26" s="1"/>
    </row>
    <row r="27">
      <c r="A27" s="1"/>
      <c r="B27" s="1"/>
      <c r="C27" s="1"/>
    </row>
    <row r="28">
      <c r="A28" s="8" t="s">
        <v>18</v>
      </c>
      <c r="B28" s="1"/>
      <c r="C28" s="1"/>
    </row>
    <row r="29">
      <c r="A29" s="9" t="s">
        <v>19</v>
      </c>
      <c r="B29" s="9"/>
      <c r="C29" s="1"/>
    </row>
    <row r="30">
      <c r="A30" s="9" t="s">
        <v>20</v>
      </c>
      <c r="B30" s="9"/>
      <c r="C30" s="1"/>
    </row>
    <row r="31">
      <c r="A31" s="9" t="s">
        <v>21</v>
      </c>
      <c r="B31" s="9"/>
      <c r="C31" s="1"/>
    </row>
    <row r="32">
      <c r="A32" s="9" t="s">
        <v>22</v>
      </c>
      <c r="B32" s="9"/>
      <c r="C32" s="1"/>
    </row>
    <row r="33">
      <c r="A33" s="1"/>
      <c r="B33" s="1"/>
      <c r="C33" s="1"/>
    </row>
    <row r="34">
      <c r="A34" s="11"/>
      <c r="B34" s="1"/>
      <c r="C34" s="1"/>
    </row>
    <row r="35" ht="15.75" customHeight="1">
      <c r="A35" s="9" t="s">
        <v>23</v>
      </c>
      <c r="B35" s="12"/>
      <c r="C35" s="1"/>
    </row>
    <row r="36" ht="15.75" customHeight="1">
      <c r="A36" s="9" t="s">
        <v>24</v>
      </c>
      <c r="B36" s="12"/>
      <c r="C36" s="1"/>
    </row>
    <row r="37" ht="15.75" customHeight="1">
      <c r="A37" s="9" t="s">
        <v>25</v>
      </c>
      <c r="B37" s="12"/>
      <c r="C37" s="1"/>
    </row>
    <row r="38" ht="15.75" customHeight="1">
      <c r="A38" s="9" t="s">
        <v>26</v>
      </c>
      <c r="B38" s="12"/>
      <c r="C38" s="1"/>
    </row>
    <row r="39" ht="15.75" customHeight="1">
      <c r="A39" s="9" t="s">
        <v>27</v>
      </c>
      <c r="B39" s="12"/>
      <c r="C39" s="1"/>
    </row>
    <row r="40" ht="15.75" customHeight="1">
      <c r="A40" s="9" t="s">
        <v>28</v>
      </c>
      <c r="B40" s="12"/>
      <c r="C40" s="1"/>
    </row>
    <row r="41" ht="15.75" customHeight="1">
      <c r="A41" s="9" t="s">
        <v>29</v>
      </c>
      <c r="B41" s="12"/>
      <c r="C41" s="1"/>
    </row>
    <row r="42" ht="15.75" customHeight="1">
      <c r="A42" s="9" t="s">
        <v>30</v>
      </c>
      <c r="B42" s="12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3" t="s">
        <v>31</v>
      </c>
      <c r="B45" s="13" t="s">
        <v>32</v>
      </c>
      <c r="C45" s="1"/>
    </row>
    <row r="46">
      <c r="A46" s="14" t="s">
        <v>33</v>
      </c>
      <c r="B46" s="14" t="s">
        <v>34</v>
      </c>
      <c r="C46" s="1"/>
    </row>
    <row r="47">
      <c r="A47" s="14" t="s">
        <v>35</v>
      </c>
      <c r="B47" s="15"/>
      <c r="C47" s="1"/>
    </row>
    <row r="48">
      <c r="A48" s="14" t="s">
        <v>36</v>
      </c>
      <c r="B48" s="15"/>
      <c r="C48" s="1"/>
    </row>
    <row r="49">
      <c r="A49" s="16" t="s">
        <v>37</v>
      </c>
      <c r="B49" s="15"/>
      <c r="C49" s="1"/>
    </row>
    <row r="50">
      <c r="A50" s="1"/>
      <c r="B50" s="17"/>
      <c r="C50" s="1"/>
    </row>
    <row r="51">
      <c r="B51" s="18"/>
      <c r="C51" s="1"/>
    </row>
    <row r="52">
      <c r="A52" s="19" t="s">
        <v>38</v>
      </c>
      <c r="B52" s="20"/>
      <c r="C52" s="1"/>
    </row>
    <row r="54" ht="22.5" customHeight="1">
      <c r="A54" s="21" t="s">
        <v>39</v>
      </c>
      <c r="B54" s="22" t="s">
        <v>40</v>
      </c>
      <c r="C54" s="22" t="s">
        <v>41</v>
      </c>
      <c r="D54" s="23" t="s">
        <v>42</v>
      </c>
      <c r="E54" s="23" t="s">
        <v>43</v>
      </c>
      <c r="F54" s="21" t="s">
        <v>44</v>
      </c>
    </row>
    <row r="55" ht="22.5" customHeight="1">
      <c r="A55" s="24" t="s">
        <v>45</v>
      </c>
      <c r="B55" s="24" t="s">
        <v>46</v>
      </c>
      <c r="C55" s="24" t="s">
        <v>47</v>
      </c>
      <c r="D55" s="25" t="s">
        <v>48</v>
      </c>
      <c r="E55" s="26"/>
      <c r="F55" s="24" t="s">
        <v>49</v>
      </c>
    </row>
    <row r="56" ht="22.5" customHeight="1">
      <c r="A56" s="24" t="s">
        <v>50</v>
      </c>
      <c r="B56" s="24" t="s">
        <v>51</v>
      </c>
      <c r="C56" s="24" t="s">
        <v>52</v>
      </c>
      <c r="D56" s="25" t="s">
        <v>53</v>
      </c>
      <c r="E56" s="26"/>
      <c r="F56" s="24" t="s">
        <v>54</v>
      </c>
    </row>
    <row r="57" ht="22.5" customHeight="1">
      <c r="A57" s="24" t="s">
        <v>55</v>
      </c>
      <c r="B57" s="24" t="s">
        <v>56</v>
      </c>
      <c r="C57" s="24" t="s">
        <v>57</v>
      </c>
      <c r="D57" s="25" t="s">
        <v>58</v>
      </c>
      <c r="E57" s="26"/>
      <c r="F57" s="24" t="s">
        <v>59</v>
      </c>
    </row>
    <row r="58" ht="22.5" customHeight="1">
      <c r="A58" s="24" t="s">
        <v>60</v>
      </c>
      <c r="B58" s="24" t="s">
        <v>61</v>
      </c>
      <c r="C58" s="24" t="s">
        <v>62</v>
      </c>
      <c r="D58" s="25" t="s">
        <v>63</v>
      </c>
      <c r="E58" s="26"/>
      <c r="F58" s="24" t="s">
        <v>64</v>
      </c>
    </row>
  </sheetData>
  <mergeCells count="2">
    <mergeCell ref="A5:E5"/>
    <mergeCell ref="B50:B5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5"/>
    <col customWidth="1" min="3" max="3" width="25.25"/>
    <col customWidth="1" min="4" max="4" width="20.25"/>
    <col customWidth="1" min="5" max="6" width="37.63"/>
    <col customWidth="1" min="7" max="7" width="13.5"/>
  </cols>
  <sheetData>
    <row r="1">
      <c r="A1" s="1"/>
      <c r="B1" s="1"/>
      <c r="C1" s="1"/>
    </row>
    <row r="2">
      <c r="A2" s="1"/>
      <c r="B2" s="1"/>
      <c r="C2" s="1"/>
    </row>
    <row r="3">
      <c r="A3" s="2" t="s">
        <v>0</v>
      </c>
      <c r="B3" s="1"/>
      <c r="C3" s="1"/>
    </row>
    <row r="4">
      <c r="A4" s="3" t="s">
        <v>1</v>
      </c>
      <c r="B4" s="1"/>
      <c r="C4" s="1"/>
    </row>
    <row r="5" ht="82.5" customHeight="1">
      <c r="A5" s="4" t="str">
        <f>IFERROR(__xludf.DUMMYFUNCTION("AI(""구글스프레드시트는 업무자동화에 어떤 영향을 미칠까?"")"),"구글 스프레드시트는 반복적인 데이터 수집 및 정리 업무를 자동화하여 업무 시간을 단축하고, 인적 오류를 최소화하며 실시간 협업을 가능하게 함으로써 생산성을 크게 향상시킵니다. 특히 앱 스크립트나 AI 연동, 전용 함수(IMPORTRANGE, QUERY 등)를 통해 복잡한 데이터 처리와 시각화 보고서 생성을 자동화하여 사용자가 더 가치 있는 작업에 집중할 수 있는 환경을 제공합니다.")</f>
        <v>구글 스프레드시트는 반복적인 데이터 수집 및 정리 업무를 자동화하여 업무 시간을 단축하고, 인적 오류를 최소화하며 실시간 협업을 가능하게 함으로써 생산성을 크게 향상시킵니다. 특히 앱 스크립트나 AI 연동, 전용 함수(IMPORTRANGE, QUERY 등)를 통해 복잡한 데이터 처리와 시각화 보고서 생성을 자동화하여 사용자가 더 가치 있는 작업에 집중할 수 있는 환경을 제공합니다.</v>
      </c>
      <c r="B5" s="5"/>
      <c r="C5" s="5"/>
      <c r="D5" s="5"/>
      <c r="E5" s="6"/>
    </row>
    <row r="6">
      <c r="A6" s="1"/>
      <c r="B6" s="1"/>
      <c r="C6" s="1"/>
    </row>
    <row r="7">
      <c r="A7" s="1"/>
      <c r="B7" s="1"/>
      <c r="C7" s="1"/>
    </row>
    <row r="8">
      <c r="A8" s="1"/>
      <c r="B8" s="1"/>
      <c r="C8" s="1"/>
    </row>
    <row r="9">
      <c r="A9" s="7" t="s">
        <v>2</v>
      </c>
      <c r="B9" s="1"/>
      <c r="C9" s="1"/>
    </row>
    <row r="10">
      <c r="A10" s="8" t="s">
        <v>3</v>
      </c>
      <c r="B10" s="1"/>
      <c r="C10" s="1"/>
    </row>
    <row r="11">
      <c r="A11" s="9" t="s">
        <v>4</v>
      </c>
      <c r="B11" s="10">
        <f>IFERROR(__xludf.DUMMYFUNCTION("VALUE(REGEXEXTRACT(A11, ""\d+""))"),50.0)</f>
        <v>50</v>
      </c>
      <c r="C11" s="1"/>
    </row>
    <row r="12">
      <c r="A12" s="9" t="s">
        <v>5</v>
      </c>
      <c r="B12" s="10">
        <f>IFERROR(__xludf.DUMMYFUNCTION("VALUE(REGEXEXTRACT(A12, ""\d+""))"),30.0)</f>
        <v>30</v>
      </c>
      <c r="C12" s="1"/>
    </row>
    <row r="13">
      <c r="A13" s="9" t="s">
        <v>6</v>
      </c>
      <c r="B13" s="10">
        <f>IFERROR(__xludf.DUMMYFUNCTION("VALUE(REGEXEXTRACT(A13, ""\d+""))"),50.0)</f>
        <v>50</v>
      </c>
      <c r="C13" s="1"/>
    </row>
    <row r="14">
      <c r="A14" s="9" t="s">
        <v>7</v>
      </c>
      <c r="B14" s="10">
        <f>IFERROR(__xludf.DUMMYFUNCTION("VALUE(REGEXEXTRACT(A14, ""\d+""))"),240.0)</f>
        <v>240</v>
      </c>
      <c r="C14" s="1"/>
    </row>
    <row r="15">
      <c r="A15" s="1"/>
      <c r="B15" s="1"/>
      <c r="C15" s="1"/>
    </row>
    <row r="16">
      <c r="A16" s="11"/>
      <c r="B16" s="1"/>
      <c r="C16" s="1"/>
    </row>
    <row r="17">
      <c r="A17" s="9" t="s">
        <v>8</v>
      </c>
      <c r="B17" s="12" t="str">
        <f>IFERROR(__xludf.DUMMYFUNCTION("AI(C17)"),"7")</f>
        <v>7</v>
      </c>
      <c r="C17" s="1" t="str">
        <f t="shared" ref="C17:C26" si="1">CONCATENATE("아래의 패턴에 따라 결과가 나올수 있게 응답해줘
[패턴]
- INPUT: ",$A$11,"
- OUTPUT: ",$B$11,"
[요청텍스트]
- INPUT: ",A17)</f>
        <v>아래의 패턴에 따라 결과가 나올수 있게 응답해줘
[패턴]
- INPUT: 오래된 나무아래에 50개의 도토리가 있다
- OUTPUT: 50
[요청텍스트]
- INPUT: 7명의 친구가 식사를 하고 있었다.</v>
      </c>
    </row>
    <row r="18">
      <c r="A18" s="9" t="s">
        <v>9</v>
      </c>
      <c r="B18" s="12" t="str">
        <f>IFERROR(__xludf.DUMMYFUNCTION("AI(C18)"),"25")</f>
        <v>25</v>
      </c>
      <c r="C18" s="1" t="str">
        <f t="shared" si="1"/>
        <v>아래의 패턴에 따라 결과가 나올수 있게 응답해줘
[패턴]
- INPUT: 오래된 나무아래에 50개의 도토리가 있다
- OUTPUT: 50
[요청텍스트]
- INPUT: 오늘은 온도가 25도로 따뜻한 날이었다.</v>
      </c>
    </row>
    <row r="19">
      <c r="A19" s="9" t="s">
        <v>10</v>
      </c>
      <c r="B19" s="12" t="str">
        <f>IFERROR(__xludf.DUMMYFUNCTION("AI(C19)"),"5")</f>
        <v>5</v>
      </c>
      <c r="C19" s="1" t="str">
        <f t="shared" si="1"/>
        <v>아래의 패턴에 따라 결과가 나올수 있게 응답해줘
[패턴]
- INPUT: 오래된 나무아래에 50개의 도토리가 있다
- OUTPUT: 50
[요청텍스트]
- INPUT: 이번 주는 총 5일간 진행되는 워크샵이다.</v>
      </c>
    </row>
    <row r="20">
      <c r="A20" s="9" t="s">
        <v>11</v>
      </c>
      <c r="B20" s="12" t="str">
        <f>IFERROR(__xludf.DUMMYFUNCTION("AI(C20)"),"31")</f>
        <v>31</v>
      </c>
      <c r="C20" s="1" t="str">
        <f t="shared" si="1"/>
        <v>아래의 패턴에 따라 결과가 나올수 있게 응답해줘
[패턴]
- INPUT: 오래된 나무아래에 50개의 도토리가 있다
- OUTPUT: 50
[요청텍스트]
- INPUT: 이번 달에는 총 31일이 있다.</v>
      </c>
    </row>
    <row r="21">
      <c r="A21" s="9" t="s">
        <v>12</v>
      </c>
      <c r="B21" s="12" t="str">
        <f>IFERROR(__xludf.DUMMYFUNCTION("AI(C21)"),"3")</f>
        <v>3</v>
      </c>
      <c r="C21" s="1" t="str">
        <f t="shared" si="1"/>
        <v>아래의 패턴에 따라 결과가 나올수 있게 응답해줘
[패턴]
- INPUT: 오래된 나무아래에 50개의 도토리가 있다
- OUTPUT: 50
[요청텍스트]
- INPUT: 이번 주는 총 3개의 과제가 있다.</v>
      </c>
    </row>
    <row r="22">
      <c r="A22" s="9" t="s">
        <v>13</v>
      </c>
      <c r="B22" s="12" t="str">
        <f>IFERROR(__xludf.DUMMYFUNCTION("AI(C22)"),"12")</f>
        <v>12</v>
      </c>
      <c r="C22" s="1" t="str">
        <f t="shared" si="1"/>
        <v>아래의 패턴에 따라 결과가 나올수 있게 응답해줘
[패턴]
- INPUT: 오래된 나무아래에 50개의 도토리가 있다
- OUTPUT: 50
[요청텍스트]
- INPUT: 이번 달에는 총 12개의 일정이 있다.</v>
      </c>
    </row>
    <row r="23">
      <c r="A23" s="9" t="s">
        <v>14</v>
      </c>
      <c r="B23" s="12" t="str">
        <f>IFERROR(__xludf.DUMMYFUNCTION("AI(C23)"),"7")</f>
        <v>7</v>
      </c>
      <c r="C23" s="1" t="str">
        <f t="shared" si="1"/>
        <v>아래의 패턴에 따라 결과가 나올수 있게 응답해줘
[패턴]
- INPUT: 오래된 나무아래에 50개의 도토리가 있다
- OUTPUT: 50
[요청텍스트]
- INPUT: 이번 주는 총 7개의 수업이 있다.</v>
      </c>
    </row>
    <row r="24">
      <c r="A24" s="9" t="s">
        <v>15</v>
      </c>
      <c r="B24" s="12" t="str">
        <f>IFERROR(__xludf.DUMMYFUNCTION("AI(C24)"),"30")</f>
        <v>30</v>
      </c>
      <c r="C24" s="1" t="str">
        <f t="shared" si="1"/>
        <v>아래의 패턴에 따라 결과가 나올수 있게 응답해줘
[패턴]
- INPUT: 오래된 나무아래에 50개의 도토리가 있다
- OUTPUT: 50
[요청텍스트]
- INPUT: 이번 달에는 총 30개의 날이 있습니다.</v>
      </c>
    </row>
    <row r="25">
      <c r="A25" s="9" t="s">
        <v>16</v>
      </c>
      <c r="B25" s="12" t="str">
        <f>IFERROR(__xludf.DUMMYFUNCTION("AI(C25)"),"4")</f>
        <v>4</v>
      </c>
      <c r="C25" s="1" t="str">
        <f t="shared" si="1"/>
        <v>아래의 패턴에 따라 결과가 나올수 있게 응답해줘
[패턴]
- INPUT: 오래된 나무아래에 50개의 도토리가 있다
- OUTPUT: 50
[요청텍스트]
- INPUT: 이번 주는 총 4개의 프로젝트가 있다.</v>
      </c>
    </row>
    <row r="26">
      <c r="A26" s="9" t="s">
        <v>17</v>
      </c>
      <c r="B26" s="12" t="str">
        <f>IFERROR(__xludf.DUMMYFUNCTION("AI(C26)"),"24")</f>
        <v>24</v>
      </c>
      <c r="C26" s="1" t="str">
        <f t="shared" si="1"/>
        <v>아래의 패턴에 따라 결과가 나올수 있게 응답해줘
[패턴]
- INPUT: 오래된 나무아래에 50개의 도토리가 있다
- OUTPUT: 50
[요청텍스트]
- INPUT: 이번 달에는 총 24개의 시간이 있다.</v>
      </c>
    </row>
    <row r="27">
      <c r="A27" s="1"/>
      <c r="B27" s="1"/>
      <c r="C27" s="1"/>
    </row>
    <row r="28">
      <c r="A28" s="8" t="s">
        <v>18</v>
      </c>
      <c r="B28" s="1"/>
      <c r="C28" s="1"/>
    </row>
    <row r="29">
      <c r="A29" s="9" t="s">
        <v>19</v>
      </c>
      <c r="B29" s="9" t="str">
        <f>IFERROR(__xludf.DUMMYFUNCTION("AI(A29&amp;""나라에서 '사랑해'라는 말을 그 나라의 언어로 만들어줘"")"),"사랑해")</f>
        <v>사랑해</v>
      </c>
      <c r="C29" s="1"/>
    </row>
    <row r="30">
      <c r="A30" s="9" t="s">
        <v>20</v>
      </c>
      <c r="B30" s="9" t="str">
        <f>IFERROR(__xludf.DUMMYFUNCTION("AI(A30&amp;""나라에서 '사랑해'라는 말을 그 나라의 언어로 만들어줘"")"),"I love you")</f>
        <v>I love you</v>
      </c>
      <c r="C30" s="1"/>
    </row>
    <row r="31">
      <c r="A31" s="9" t="s">
        <v>21</v>
      </c>
      <c r="B31" s="9" t="str">
        <f>IFERROR(__xludf.DUMMYFUNCTION("AI(A31&amp;""나라에서 '사랑해'라는 말을 그 나라의 언어로 만들어줘"")"),"我爱你 (Wǒ ài nǐ)")</f>
        <v>我爱你 (Wǒ ài nǐ)</v>
      </c>
      <c r="C31" s="1"/>
    </row>
    <row r="32">
      <c r="A32" s="9" t="s">
        <v>22</v>
      </c>
      <c r="B32" s="9" t="str">
        <f>IFERROR(__xludf.DUMMYFUNCTION("AI(A32&amp;""나라에서 '사랑해'라는 말을 그 나라의 언어로 만들어줘"")"),"愛してる (아이시테루)")</f>
        <v>愛してる (아이시테루)</v>
      </c>
      <c r="C32" s="1"/>
    </row>
    <row r="33">
      <c r="A33" s="1"/>
      <c r="B33" s="1"/>
      <c r="C33" s="1"/>
    </row>
    <row r="34">
      <c r="A34" s="11"/>
      <c r="B34" s="1"/>
      <c r="C34" s="1"/>
    </row>
    <row r="35">
      <c r="A35" s="9" t="s">
        <v>23</v>
      </c>
      <c r="B35" s="12" t="str">
        <f>IFERROR(__xludf.DUMMYFUNCTION("AI(C35)"),"=AI(C35)")</f>
        <v>=AI(C35)</v>
      </c>
      <c r="C35" s="1" t="str">
        <f t="shared" ref="C35:C42" si="2">CONCATENATE("아래의 패턴에 따라 결과가 나올수 있게 응답해줘
[패턴]
- INPUT: ",$A$29,"
- OUTPUT: ",$B$29,"
- INPUT: ",$A$30,"
- OUTPUT: ",$B$30,"
- INPUT: ",$A$31,"
- OUTPUT: ",$B$31,"
[요청텍스트]
- INPUT: ",A35)</f>
        <v>아래의 패턴에 따라 결과가 나올수 있게 응답해줘
[패턴]
- INPUT: 대한민국
- OUTPUT: 사랑해
- INPUT: 미국
- OUTPUT: I love you
- INPUT: 중국어
- OUTPUT: 我爱你 (Wǒ ài nǐ)
[요청텍스트]
- INPUT: 독일</v>
      </c>
    </row>
    <row r="36">
      <c r="A36" s="9" t="s">
        <v>24</v>
      </c>
      <c r="B36" s="12" t="str">
        <f>IFERROR(__xludf.DUMMYFUNCTION("AI(C36)"),"=AI(C36)")</f>
        <v>=AI(C36)</v>
      </c>
      <c r="C36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프랑스</v>
      </c>
    </row>
    <row r="37">
      <c r="A37" s="9" t="s">
        <v>25</v>
      </c>
      <c r="B37" s="12" t="str">
        <f>IFERROR(__xludf.DUMMYFUNCTION("AI(C37)"),"=AI(C37)")</f>
        <v>=AI(C37)</v>
      </c>
      <c r="C37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영국</v>
      </c>
    </row>
    <row r="38">
      <c r="A38" s="9" t="s">
        <v>26</v>
      </c>
      <c r="B38" s="12" t="str">
        <f>IFERROR(__xludf.DUMMYFUNCTION("AI(C38)"),"=AI(C38)")</f>
        <v>=AI(C38)</v>
      </c>
      <c r="C38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스페인</v>
      </c>
    </row>
    <row r="39">
      <c r="A39" s="9" t="s">
        <v>27</v>
      </c>
      <c r="B39" s="12" t="str">
        <f>IFERROR(__xludf.DUMMYFUNCTION("AI(C39)"),"=AI(C39)")</f>
        <v>=AI(C39)</v>
      </c>
      <c r="C39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가나</v>
      </c>
    </row>
    <row r="40">
      <c r="A40" s="9" t="s">
        <v>28</v>
      </c>
      <c r="B40" s="12" t="str">
        <f>IFERROR(__xludf.DUMMYFUNCTION("AI(C40)"),"=AI(C40)")</f>
        <v>=AI(C40)</v>
      </c>
      <c r="C40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이집트</v>
      </c>
    </row>
    <row r="41">
      <c r="A41" s="9" t="s">
        <v>29</v>
      </c>
      <c r="B41" s="12" t="str">
        <f>IFERROR(__xludf.DUMMYFUNCTION("AI(C41)"),"=AI(C41)")</f>
        <v>=AI(C41)</v>
      </c>
      <c r="C41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몽골</v>
      </c>
    </row>
    <row r="42">
      <c r="A42" s="9" t="s">
        <v>30</v>
      </c>
      <c r="B42" s="12" t="str">
        <f>IFERROR(__xludf.DUMMYFUNCTION("AI(C42)"),"=AI(C42)")</f>
        <v>=AI(C42)</v>
      </c>
      <c r="C42" s="1" t="str">
        <f t="shared" si="2"/>
        <v>아래의 패턴에 따라 결과가 나올수 있게 응답해줘
[패턴]
- INPUT: 대한민국
- OUTPUT: 사랑해
- INPUT: 미국
- OUTPUT: I love you
- INPUT: 중국어
- OUTPUT: 我爱你 (Wǒ ài nǐ)
[요청텍스트]
- INPUT: 러시아</v>
      </c>
    </row>
    <row r="43">
      <c r="A43" s="1"/>
      <c r="B43" s="1"/>
      <c r="C43" s="1"/>
    </row>
    <row r="44">
      <c r="A44" s="1"/>
      <c r="B44" s="1"/>
      <c r="C44" s="1"/>
    </row>
    <row r="45">
      <c r="A45" s="13" t="s">
        <v>31</v>
      </c>
      <c r="B45" s="13" t="s">
        <v>32</v>
      </c>
      <c r="C45" s="1"/>
    </row>
    <row r="46">
      <c r="A46" s="14" t="s">
        <v>33</v>
      </c>
      <c r="B46" s="14" t="s">
        <v>34</v>
      </c>
      <c r="C46" s="1"/>
    </row>
    <row r="47">
      <c r="A47" s="14" t="s">
        <v>35</v>
      </c>
      <c r="B47" s="15" t="str">
        <f>IFERROR(__xludf.DUMMYFUNCTION("AI(C47)"),"흡입력이 약해 불편함을 느끼셨다니 죄송합니다. 흡입력 문제는 필터 오염이나 이물질 막힘 등으로 인해 발생할 수 있습니다. 혹시 필터 청소를 해보셨는지요? 청소 후에도 문제가 지속된다면, 저희가 점검 후 필요한 조치를 취해드리겠습니다.")</f>
        <v>흡입력이 약해 불편함을 느끼셨다니 죄송합니다. 흡입력 문제는 필터 오염이나 이물질 막힘 등으로 인해 발생할 수 있습니다. 혹시 필터 청소를 해보셨는지요? 청소 후에도 문제가 지속된다면, 저희가 점검 후 필요한 조치를 취해드리겠습니다.</v>
      </c>
      <c r="C47" s="1" t="str">
        <f t="shared" ref="C47:C49" si="3">CONCATENATE("아래의 패턴에 따라 결과가 나올수 있게 응답해줘
[패턴]
- INPUT: ",$A$46,"
- OUTPUT: ",$B$46,"
[요청텍스트]
- INPUT: ",A47)</f>
        <v>아래의 패턴에 따라 결과가 나올수 있게 응답해줘
[패턴]
- INPUT: 청소기 배터리가 너무 빨리 닳아요.
30분도 못가서 배터리를 계속 충전해야 해요.
- OUTPUT: 정말 불편하셨을 것 같습니다. 배터리 문제는 보통 사용시간이 지나면서 발생할 수 있습니다. 그러나 사용 초기에 이런 문제가 발생한다면, 저희가 배터리를 교체해드리도록 하겠습니다.
[요청텍스트]
- INPUT: 청소기 흡입력이 매우 약해요.
바닥에 있는 먼지를 제대로 빨아들이지 못해요.</v>
      </c>
    </row>
    <row r="48">
      <c r="A48" s="14" t="s">
        <v>36</v>
      </c>
      <c r="B48" s="15" t="str">
        <f>IFERROR(__xludf.DUMMYFUNCTION("AI(C48)"),"필터 청소에 어려움을 느끼셨다니 정말 죄송합니다. 필터 청소가 번거롭고 먼지가 날리는 문제로 불편함을 겪으시는군요. 저희 제품의 필터 청소 방식을 개선할 수 있도록 고객님의 소중한 의견을 담당 부서에 전달하겠습니다. 우선, 청소 시 발생할 수 있는 먼지를 최소화할 수 있는 몇 가지 팁을 안내해 드릴 수 있으며, 만약 필터 구조 자체에 문제가 있다면 점검을 도와드리겠습니다.")</f>
        <v>필터 청소에 어려움을 느끼셨다니 정말 죄송합니다. 필터 청소가 번거롭고 먼지가 날리는 문제로 불편함을 겪으시는군요. 저희 제품의 필터 청소 방식을 개선할 수 있도록 고객님의 소중한 의견을 담당 부서에 전달하겠습니다. 우선, 청소 시 발생할 수 있는 먼지를 최소화할 수 있는 몇 가지 팁을 안내해 드릴 수 있으며, 만약 필터 구조 자체에 문제가 있다면 점검을 도와드리겠습니다.</v>
      </c>
      <c r="C48" s="1" t="str">
        <f t="shared" si="3"/>
        <v>아래의 패턴에 따라 결과가 나올수 있게 응답해줘
[패턴]
- INPUT: 청소기 배터리가 너무 빨리 닳아요.
30분도 못가서 배터리를 계속 충전해야 해요.
- OUTPUT: 정말 불편하셨을 것 같습니다. 배터리 문제는 보통 사용시간이 지나면서 발생할 수 있습니다. 그러나 사용 초기에 이런 문제가 발생한다면, 저희가 배터리를 교체해드리도록 하겠습니다.
[요청텍스트]
- INPUT: 청소기 필터를 청소하기 너무 어려워요.
매번 청소하고 나면 온몸에 먼지가 다 붙어요.</v>
      </c>
    </row>
    <row r="49">
      <c r="A49" s="16" t="s">
        <v>37</v>
      </c>
      <c r="B49" s="15" t="str">
        <f>IFERROR(__xludf.DUMMYFUNCTION("AI(C49)"),"충전기 고장으로 인해 청소기 사용에 불편을 겪으셨다니 정말 죄송합니다. 충전이 되지 않는 문제는 충전기 자체의 문제이거나 본체와의 연결 문제일 수 있습니다. 저희가 충전기 상태를 점검하고 필요한 경우 교체 조치를 취해드리도록 하겠습니다.")</f>
        <v>충전기 고장으로 인해 청소기 사용에 불편을 겪으셨다니 정말 죄송합니다. 충전이 되지 않는 문제는 충전기 자체의 문제이거나 본체와의 연결 문제일 수 있습니다. 저희가 충전기 상태를 점검하고 필요한 경우 교체 조치를 취해드리도록 하겠습니다.</v>
      </c>
      <c r="C49" s="1" t="str">
        <f t="shared" si="3"/>
        <v>아래의 패턴에 따라 결과가 나올수 있게 응답해줘
[패턴]
- INPUT: 청소기 배터리가 너무 빨리 닳아요.
30분도 못가서 배터리를 계속 충전해야 해요.
- OUTPUT: 정말 불편하셨을 것 같습니다. 배터리 문제는 보통 사용시간이 지나면서 발생할 수 있습니다. 그러나 사용 초기에 이런 문제가 발생한다면, 저희가 배터리를 교체해드리도록 하겠습니다.
[요청텍스트]
- INPUT: 청소기 충전기가 고장 났어요. 충전이 안돼요.</v>
      </c>
    </row>
    <row r="50">
      <c r="A50" s="1"/>
      <c r="B50" s="17"/>
      <c r="C50" s="1"/>
    </row>
    <row r="51">
      <c r="B51" s="18"/>
      <c r="C51" s="1"/>
    </row>
    <row r="52">
      <c r="A52" s="19" t="s">
        <v>38</v>
      </c>
      <c r="B52" s="20"/>
      <c r="C52" s="1"/>
    </row>
    <row r="54" ht="22.5" customHeight="1">
      <c r="A54" s="21" t="s">
        <v>39</v>
      </c>
      <c r="B54" s="22" t="s">
        <v>40</v>
      </c>
      <c r="C54" s="22" t="s">
        <v>41</v>
      </c>
      <c r="D54" s="23" t="s">
        <v>42</v>
      </c>
      <c r="E54" s="23" t="s">
        <v>43</v>
      </c>
      <c r="F54" s="21" t="s">
        <v>44</v>
      </c>
    </row>
    <row r="55" ht="22.5" customHeight="1">
      <c r="A55" s="24" t="s">
        <v>45</v>
      </c>
      <c r="B55" s="24" t="s">
        <v>46</v>
      </c>
      <c r="C55" s="24" t="s">
        <v>47</v>
      </c>
      <c r="D55" s="25" t="s">
        <v>48</v>
      </c>
      <c r="E55" s="26" t="str">
        <f>IFERROR(__xludf.DUMMYFUNCTION("AI(D55 &amp; "" [대상 기능: "" &amp; A55 &amp; "", 테스트 조건: "" &amp; B55 &amp; "", 테스트 환경: "" &amp; C55 &amp; ""]"")"),"- 해외 발행 신용카드(Visa/Mastercard 등)를 사용하여 모바일 앱 내 결제 승인 및 취소 여부 확인
  - 실시간 환율 변동 API 연동 시, 결제 시점의 환율이 정확히 반영되어 최종 결제 금액이 산출되는지 검증
  - 해외 결제 시 발생하는 수수료 및 이중 환전(DCC) 안내 메시지가 사용자 화면에 정상적으로 노출되는지 확인
  - 네트워크 환경(3G/LTE/WiFi) 변화에 따른 결제 세션 유지 및 타임아웃 발생 시 데이터 정합성 체크
"&amp;"  - 결제 완료 후 해외 카드사의 승인 내역과 앱 내 주문 내역의 결제 금액(통화 단위 포함) 일치 여부 검토")</f>
        <v>- 해외 발행 신용카드(Visa/Mastercard 등)를 사용하여 모바일 앱 내 결제 승인 및 취소 여부 확인
  - 실시간 환율 변동 API 연동 시, 결제 시점의 환율이 정확히 반영되어 최종 결제 금액이 산출되는지 검증
  - 해외 결제 시 발생하는 수수료 및 이중 환전(DCC) 안내 메시지가 사용자 화면에 정상적으로 노출되는지 확인
  - 네트워크 환경(3G/LTE/WiFi) 변화에 따른 결제 세션 유지 및 타임아웃 발생 시 데이터 정합성 체크
  - 결제 완료 후 해외 카드사의 승인 내역과 앱 내 주문 내역의 결제 금액(통화 단위 포함) 일치 여부 검토</v>
      </c>
      <c r="F55" s="24" t="s">
        <v>49</v>
      </c>
    </row>
    <row r="56" ht="22.5" customHeight="1">
      <c r="A56" s="24" t="s">
        <v>50</v>
      </c>
      <c r="B56" s="24" t="s">
        <v>51</v>
      </c>
      <c r="C56" s="24" t="s">
        <v>52</v>
      </c>
      <c r="D56" s="25" t="s">
        <v>53</v>
      </c>
      <c r="E56" s="26" t="str">
        <f>IFERROR(__xludf.DUMMYFUNCTION("AI(D56 &amp; "" [대상 기능: "" &amp; A56 &amp; "", 테스트 조건: "" &amp; B56 &amp; "", 테스트 환경: "" &amp; C56 &amp; ""]"")"),"- 2GB를 초과하는 대용량 파일 업로드 시 브라우저 및 서버의 타임아웃 발생 여부와 업로드 완료까지의 소요 시간 측정
  - .exe, .sh, .jsp 등 보안상 위험이 있는 특수 확장자 파일 업로드 시 시스템의 차단 정책이 정상 작동하는지 확인
  - 대용량 파일 업로드 중 네트워크 대역폭 점유율과 CPU/메모리 사용량을 모니터링하여 웹 브라우저(Chrome)의 응답 멈춤 현상 검증
  - 업로드 중 브라우저 새로고침이나 탭 닫기 시 데이터 전송 "&amp;"중단 및 서버 측의 임시 파일 처리 적절성 확인
  - 2GB 이상의 대용량 파일이 정상 업로드된 후, 서버에 저장된 파일의 크기와 무결성이 원본과 일치하는지 체크 루틴 수행")</f>
        <v>- 2GB를 초과하는 대용량 파일 업로드 시 브라우저 및 서버의 타임아웃 발생 여부와 업로드 완료까지의 소요 시간 측정
  - .exe, .sh, .jsp 등 보안상 위험이 있는 특수 확장자 파일 업로드 시 시스템의 차단 정책이 정상 작동하는지 확인
  - 대용량 파일 업로드 중 네트워크 대역폭 점유율과 CPU/메모리 사용량을 모니터링하여 웹 브라우저(Chrome)의 응답 멈춤 현상 검증
  - 업로드 중 브라우저 새로고침이나 탭 닫기 시 데이터 전송 중단 및 서버 측의 임시 파일 처리 적절성 확인
  - 2GB 이상의 대용량 파일이 정상 업로드된 후, 서버에 저장된 파일의 크기와 무결성이 원본과 일치하는지 체크 루틴 수행</v>
      </c>
      <c r="F56" s="24" t="s">
        <v>54</v>
      </c>
    </row>
    <row r="57" ht="22.5" customHeight="1">
      <c r="A57" s="24" t="s">
        <v>55</v>
      </c>
      <c r="B57" s="24" t="s">
        <v>56</v>
      </c>
      <c r="C57" s="24" t="s">
        <v>57</v>
      </c>
      <c r="D57" s="25" t="s">
        <v>58</v>
      </c>
      <c r="E57" s="26" t="str">
        <f>IFERROR(__xludf.DUMMYFUNCTION("AI(D57 &amp; "" [대상 기능: "" &amp; A57 &amp; "", 테스트 조건: "" &amp; B57 &amp; "", 테스트 환경: "" &amp; C57 &amp; ""]"")"),"- WiFi에서 LTE로 네트워크 전환 발생 시 진행 중인 메시지 전송 세션이 유지되거나 자동 재연결을 통해 전송이 완료되는지 확인
  - 네트워크 지연(Latency) 발생 시 메시지 전송 타임아웃 설정값이 정상 작동하며 사용자에게 전송 중 상태가 적절히 표시되는지 검증
  - 전송 실패 시 정의된 횟수만큼 자동 재시도(Retry)가 수행되는지 확인하고, 최종 실패 시 수동 재전송 버튼 및 알림이 노출되는지 체크
  - 네트워크 복구 즉시 대기 중이던"&amp;" 메시지가 순차적으로 전송되는지 및 서버와 클라이언트 간 메시지 순서 보장(Ordering) 여부 검토
  - 앱이 백그라운드 상태에서 네트워크가 전환될 때 푸시 알림 또는 소켓 연결 재설정 프로세스가 누락 없이 작동하는지 테스트")</f>
        <v>- WiFi에서 LTE로 네트워크 전환 발생 시 진행 중인 메시지 전송 세션이 유지되거나 자동 재연결을 통해 전송이 완료되는지 확인
  - 네트워크 지연(Latency) 발생 시 메시지 전송 타임아웃 설정값이 정상 작동하며 사용자에게 전송 중 상태가 적절히 표시되는지 검증
  - 전송 실패 시 정의된 횟수만큼 자동 재시도(Retry)가 수행되는지 확인하고, 최종 실패 시 수동 재전송 버튼 및 알림이 노출되는지 체크
  - 네트워크 복구 즉시 대기 중이던 메시지가 순차적으로 전송되는지 및 서버와 클라이언트 간 메시지 순서 보장(Ordering) 여부 검토
  - 앱이 백그라운드 상태에서 네트워크가 전환될 때 푸시 알림 또는 소켓 연결 재설정 프로세스가 누락 없이 작동하는지 테스트</v>
      </c>
      <c r="F57" s="24" t="s">
        <v>59</v>
      </c>
    </row>
    <row r="58" ht="22.5" customHeight="1">
      <c r="A58" s="24" t="s">
        <v>60</v>
      </c>
      <c r="B58" s="24" t="s">
        <v>61</v>
      </c>
      <c r="C58" s="24" t="s">
        <v>62</v>
      </c>
      <c r="D58" s="25" t="s">
        <v>63</v>
      </c>
      <c r="E58" s="26" t="str">
        <f>IFERROR(__xludf.DUMMYFUNCTION("AI(D58 &amp; "" [대상 기능: "" &amp; A58 &amp; "", 테스트 조건: "" &amp; B58 &amp; "", 테스트 환경: "" &amp; C58 &amp; ""]"")"),"- 저사양 PC 브라우저 환경에서 1만 건 이상의 대량 데이터를 실시간 로드할 때 초기 렌더링 완료까지의 시간 및 UI 프리징 여부 확인
  - 데이터 로드 및 렌더링 중 브라우저의 CPU 및 메모리 점유율을 모니터링하여 시스템 자원 임계값 초과 여부 검증
  - 실시간 데이터 업데이트가 반복될 때 가비지 컬렉션이 정상적으로 작동하는지 확인하고, 메모리 사용량이 지속적으로 증가하는 메모리 누수 현상 체크
  - 대량 데이터가 표시된 상태에서 스크롤, 필"&amp;"터링, 정렬 등 대시보드 조작 시 응답 속도가 사용자 경험을 저해하지 않는 수준인지 측정
  - 장시간 대시보드 유지 시 브라우저 탭 꺼짐(Crash) 현상 발생 여부 및 저사양 환경에서의 가용성 확인")</f>
        <v>- 저사양 PC 브라우저 환경에서 1만 건 이상의 대량 데이터를 실시간 로드할 때 초기 렌더링 완료까지의 시간 및 UI 프리징 여부 확인
  - 데이터 로드 및 렌더링 중 브라우저의 CPU 및 메모리 점유율을 모니터링하여 시스템 자원 임계값 초과 여부 검증
  - 실시간 데이터 업데이트가 반복될 때 가비지 컬렉션이 정상적으로 작동하는지 확인하고, 메모리 사용량이 지속적으로 증가하는 메모리 누수 현상 체크
  - 대량 데이터가 표시된 상태에서 스크롤, 필터링, 정렬 등 대시보드 조작 시 응답 속도가 사용자 경험을 저해하지 않는 수준인지 측정
  - 장시간 대시보드 유지 시 브라우저 탭 꺼짐(Crash) 현상 발생 여부 및 저사양 환경에서의 가용성 확인</v>
      </c>
      <c r="F58" s="24" t="s">
        <v>64</v>
      </c>
    </row>
  </sheetData>
  <mergeCells count="2">
    <mergeCell ref="A5:E5"/>
    <mergeCell ref="B50:B51"/>
  </mergeCells>
  <drawing r:id="rId1"/>
  <tableParts count="1">
    <tablePart r:id="rId3"/>
  </tableParts>
</worksheet>
</file>