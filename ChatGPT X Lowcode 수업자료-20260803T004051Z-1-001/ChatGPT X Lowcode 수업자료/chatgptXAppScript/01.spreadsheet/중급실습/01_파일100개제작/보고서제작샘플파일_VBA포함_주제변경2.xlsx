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보고서" sheetId="1" r:id="rId5"/>
    <sheet state="visible" name="RAW_DATA" sheetId="2" r:id="rId6"/>
  </sheets>
  <definedNames/>
  <calcPr/>
</workbook>
</file>

<file path=xl/sharedStrings.xml><?xml version="1.0" encoding="utf-8"?>
<sst xmlns="http://schemas.openxmlformats.org/spreadsheetml/2006/main" count="232" uniqueCount="227">
  <si>
    <t>회사명</t>
  </si>
  <si>
    <t>전화번호</t>
  </si>
  <si>
    <t>당해년도수익</t>
  </si>
  <si>
    <t>1분기수익</t>
  </si>
  <si>
    <t>2분기수익</t>
  </si>
  <si>
    <t>3분기수익</t>
  </si>
  <si>
    <t>4분기수익</t>
  </si>
  <si>
    <t>임직원수</t>
  </si>
  <si>
    <t>남자임직원수</t>
  </si>
  <si>
    <t>남자_정규직수</t>
  </si>
  <si>
    <t>남자_계약직수</t>
  </si>
  <si>
    <t>여자임직원수</t>
  </si>
  <si>
    <t>여자_정규직수</t>
  </si>
  <si>
    <t>여자_계약직수</t>
  </si>
  <si>
    <t>기업명1</t>
  </si>
  <si>
    <t>809-8323-6365</t>
  </si>
  <si>
    <t>기업명2</t>
  </si>
  <si>
    <t>809-7084-6582</t>
  </si>
  <si>
    <t>기업명3</t>
  </si>
  <si>
    <t>809-3975-3453</t>
  </si>
  <si>
    <t>기업명4</t>
  </si>
  <si>
    <t>809-3799-9732</t>
  </si>
  <si>
    <t>기업명5</t>
  </si>
  <si>
    <t>809-3977-5122</t>
  </si>
  <si>
    <t>기업명6</t>
  </si>
  <si>
    <t>809-8158-4025</t>
  </si>
  <si>
    <t>기업명7</t>
  </si>
  <si>
    <t>809-5081-1038</t>
  </si>
  <si>
    <t>기업명8</t>
  </si>
  <si>
    <t>809-8440-9373</t>
  </si>
  <si>
    <t>기업명9</t>
  </si>
  <si>
    <t>809-2112-1425</t>
  </si>
  <si>
    <t>기업명10</t>
  </si>
  <si>
    <t>809-5525-7761</t>
  </si>
  <si>
    <t>기업명11</t>
  </si>
  <si>
    <t>809-6723-1959</t>
  </si>
  <si>
    <t>기업명12</t>
  </si>
  <si>
    <t>809-9209-1906</t>
  </si>
  <si>
    <t>기업명13</t>
  </si>
  <si>
    <t>809-0484-3388</t>
  </si>
  <si>
    <t>기업명14</t>
  </si>
  <si>
    <t>809-7038-7718</t>
  </si>
  <si>
    <t>기업명15</t>
  </si>
  <si>
    <t>809-4704-9064</t>
  </si>
  <si>
    <t>기업명16</t>
  </si>
  <si>
    <t>809-2463-3785</t>
  </si>
  <si>
    <t>기업명17</t>
  </si>
  <si>
    <t>809-0854-7413</t>
  </si>
  <si>
    <t>기업명18</t>
  </si>
  <si>
    <t>809-3925-2357</t>
  </si>
  <si>
    <t>기업명19</t>
  </si>
  <si>
    <t>809-2716-5003</t>
  </si>
  <si>
    <t>기업명20</t>
  </si>
  <si>
    <t>809-1996-6788</t>
  </si>
  <si>
    <t>기업명21</t>
  </si>
  <si>
    <t>809-7086-8983</t>
  </si>
  <si>
    <t>기업명22</t>
  </si>
  <si>
    <t>809-6174-9208</t>
  </si>
  <si>
    <t>기업명23</t>
  </si>
  <si>
    <t>809-2784-4176</t>
  </si>
  <si>
    <t>기업명24</t>
  </si>
  <si>
    <t>809-9415-9713</t>
  </si>
  <si>
    <t>기업명25</t>
  </si>
  <si>
    <t>809-5736-6791</t>
  </si>
  <si>
    <t>기업명26</t>
  </si>
  <si>
    <t>809-9603-8414</t>
  </si>
  <si>
    <t>기업명27</t>
  </si>
  <si>
    <t>809-5031-4440</t>
  </si>
  <si>
    <t>기업명28</t>
  </si>
  <si>
    <t>809-0846-9332</t>
  </si>
  <si>
    <t>기업명29</t>
  </si>
  <si>
    <t>809-1213-4110</t>
  </si>
  <si>
    <t>기업명30</t>
  </si>
  <si>
    <t>809-7843-5632</t>
  </si>
  <si>
    <t>기업명31</t>
  </si>
  <si>
    <t>809-9814-0839</t>
  </si>
  <si>
    <t>기업명32</t>
  </si>
  <si>
    <t>809-5517-8647</t>
  </si>
  <si>
    <t>기업명33</t>
  </si>
  <si>
    <t>809-3536-4730</t>
  </si>
  <si>
    <t>기업명34</t>
  </si>
  <si>
    <t>809-5937-5580</t>
  </si>
  <si>
    <t>기업명35</t>
  </si>
  <si>
    <t>809-8369-3270</t>
  </si>
  <si>
    <t>기업명36</t>
  </si>
  <si>
    <t>809-3036-1929</t>
  </si>
  <si>
    <t>기업명37</t>
  </si>
  <si>
    <t>809-4913-2497</t>
  </si>
  <si>
    <t>기업명38</t>
  </si>
  <si>
    <t>809-4941-2723</t>
  </si>
  <si>
    <t>기업명39</t>
  </si>
  <si>
    <t>809-9766-2360</t>
  </si>
  <si>
    <t>기업명40</t>
  </si>
  <si>
    <t>809-8076-5965</t>
  </si>
  <si>
    <t>기업명41</t>
  </si>
  <si>
    <t>809-2719-2256</t>
  </si>
  <si>
    <t>기업명42</t>
  </si>
  <si>
    <t>809-4221-0902</t>
  </si>
  <si>
    <t>기업명43</t>
  </si>
  <si>
    <t>809-8308-8105</t>
  </si>
  <si>
    <t>기업명44</t>
  </si>
  <si>
    <t>809-8235-3864</t>
  </si>
  <si>
    <t>기업명45</t>
  </si>
  <si>
    <t>809-6362-6559</t>
  </si>
  <si>
    <t>기업명46</t>
  </si>
  <si>
    <t>809-4651-3389</t>
  </si>
  <si>
    <t>기업명47</t>
  </si>
  <si>
    <t>809-5560-9751</t>
  </si>
  <si>
    <t>기업명48</t>
  </si>
  <si>
    <t>809-5668-7532</t>
  </si>
  <si>
    <t>기업명49</t>
  </si>
  <si>
    <t>809-9932-5415</t>
  </si>
  <si>
    <t>기업명50</t>
  </si>
  <si>
    <t>809-8358-4178</t>
  </si>
  <si>
    <t>기업명51</t>
  </si>
  <si>
    <t>809-1211-7504</t>
  </si>
  <si>
    <t>기업명52</t>
  </si>
  <si>
    <t>809-1166-0237</t>
  </si>
  <si>
    <t>기업명53</t>
  </si>
  <si>
    <t>809-9249-0692</t>
  </si>
  <si>
    <t>기업명54</t>
  </si>
  <si>
    <t>809-4730-5402</t>
  </si>
  <si>
    <t>기업명55</t>
  </si>
  <si>
    <t>809-3171-3417</t>
  </si>
  <si>
    <t>기업명56</t>
  </si>
  <si>
    <t>809-4027-4026</t>
  </si>
  <si>
    <t>기업명57</t>
  </si>
  <si>
    <t>809-9249-9544</t>
  </si>
  <si>
    <t>기업명58</t>
  </si>
  <si>
    <t>809-9815-7013</t>
  </si>
  <si>
    <t>기업명59</t>
  </si>
  <si>
    <t>809-9282-4829</t>
  </si>
  <si>
    <t>기업명60</t>
  </si>
  <si>
    <t>809-8782-3360</t>
  </si>
  <si>
    <t>기업명61</t>
  </si>
  <si>
    <t>809-3639-6322</t>
  </si>
  <si>
    <t>기업명62</t>
  </si>
  <si>
    <t>809-2646-0492</t>
  </si>
  <si>
    <t>기업명63</t>
  </si>
  <si>
    <t>809-1617-5616</t>
  </si>
  <si>
    <t>기업명64</t>
  </si>
  <si>
    <t>809-6662-5223</t>
  </si>
  <si>
    <t>기업명65</t>
  </si>
  <si>
    <t>809-2938-5451</t>
  </si>
  <si>
    <t>기업명66</t>
  </si>
  <si>
    <t>809-5829-9564</t>
  </si>
  <si>
    <t>기업명67</t>
  </si>
  <si>
    <t>809-0855-5100</t>
  </si>
  <si>
    <t>기업명68</t>
  </si>
  <si>
    <t>809-0007-6354</t>
  </si>
  <si>
    <t>기업명69</t>
  </si>
  <si>
    <t>809-3451-3674</t>
  </si>
  <si>
    <t>기업명70</t>
  </si>
  <si>
    <t>809-0073-3009</t>
  </si>
  <si>
    <t>기업명71</t>
  </si>
  <si>
    <t>809-4458-8015</t>
  </si>
  <si>
    <t>기업명72</t>
  </si>
  <si>
    <t>809-9961-4047</t>
  </si>
  <si>
    <t>기업명73</t>
  </si>
  <si>
    <t>809-7762-6027</t>
  </si>
  <si>
    <t>기업명74</t>
  </si>
  <si>
    <t>809-7261-3705</t>
  </si>
  <si>
    <t>기업명75</t>
  </si>
  <si>
    <t>809-4553-8015</t>
  </si>
  <si>
    <t>기업명76</t>
  </si>
  <si>
    <t>809-4150-6886</t>
  </si>
  <si>
    <t>기업명77</t>
  </si>
  <si>
    <t>809-3443-6598</t>
  </si>
  <si>
    <t>기업명78</t>
  </si>
  <si>
    <t>809-1381-5803</t>
  </si>
  <si>
    <t>총합</t>
  </si>
  <si>
    <t>1분기</t>
  </si>
  <si>
    <t>2분기</t>
  </si>
  <si>
    <t>기업명79</t>
  </si>
  <si>
    <t>809-7178-0759</t>
  </si>
  <si>
    <t>3분기</t>
  </si>
  <si>
    <t>4분기</t>
  </si>
  <si>
    <t>기업명80</t>
  </si>
  <si>
    <t>809-9687-5910</t>
  </si>
  <si>
    <t>기업명81</t>
  </si>
  <si>
    <t>809-0563-6177</t>
  </si>
  <si>
    <t>기업명82</t>
  </si>
  <si>
    <t>809-0760-4275</t>
  </si>
  <si>
    <t>기업명83</t>
  </si>
  <si>
    <t>809-2856-6415</t>
  </si>
  <si>
    <t>기업명84</t>
  </si>
  <si>
    <t>809-4556-3814</t>
  </si>
  <si>
    <t>기업명85</t>
  </si>
  <si>
    <t>809-2974-1823</t>
  </si>
  <si>
    <t>기업명86</t>
  </si>
  <si>
    <t>809-3416-2549</t>
  </si>
  <si>
    <t>기업명87</t>
  </si>
  <si>
    <t>809-1594-5744</t>
  </si>
  <si>
    <t>기업명88</t>
  </si>
  <si>
    <t>809-2213-0191</t>
  </si>
  <si>
    <t>기업명89</t>
  </si>
  <si>
    <t>809-6986-3073</t>
  </si>
  <si>
    <t>최대</t>
  </si>
  <si>
    <t>기업명90</t>
  </si>
  <si>
    <t>최소</t>
  </si>
  <si>
    <t>809-2597-3476</t>
  </si>
  <si>
    <t>기업명91</t>
  </si>
  <si>
    <t>809-7369-3713</t>
  </si>
  <si>
    <t>기업명92</t>
  </si>
  <si>
    <t>809-7884-5369</t>
  </si>
  <si>
    <t>당해년도임직원 구성</t>
  </si>
  <si>
    <t>기업명93</t>
  </si>
  <si>
    <t>809-6293-5790</t>
  </si>
  <si>
    <t>정규직</t>
  </si>
  <si>
    <t>계약직</t>
  </si>
  <si>
    <t>합계</t>
  </si>
  <si>
    <t>기업명94</t>
  </si>
  <si>
    <t>809-7125-0589</t>
  </si>
  <si>
    <t>남성</t>
  </si>
  <si>
    <t>기업명95</t>
  </si>
  <si>
    <t>809-8253-1738</t>
  </si>
  <si>
    <t>기업명96</t>
  </si>
  <si>
    <t>809-5519-7210</t>
  </si>
  <si>
    <t>기업명97</t>
  </si>
  <si>
    <t>809-1011-6883</t>
  </si>
  <si>
    <t>기업명98</t>
  </si>
  <si>
    <t>809-2074-6053</t>
  </si>
  <si>
    <t>기업명99</t>
  </si>
  <si>
    <t>809-3949-0653</t>
  </si>
  <si>
    <t>여성</t>
  </si>
  <si>
    <t>기업명100</t>
  </si>
  <si>
    <t>809-0012-0229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</si>
</sst>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Malgun Gothic"/>
    </font>
    <font>
      <b/>
      <sz val="18.0"/>
      <color theme="1"/>
      <name val="Malgun Gothic"/>
    </font>
    <font>
      <sz val="11.0"/>
      <color theme="1"/>
      <name val="Malgun Gothic"/>
    </font>
    <font>
      <sz val="11.0"/>
      <color rgb="FF9C5700"/>
      <name val="Malgun Gothic"/>
    </font>
    <font>
      <sz val="11.0"/>
      <color theme="0"/>
      <name val="Malgun Gothic"/>
    </font>
    <font>
      <b/>
      <sz val="11.0"/>
      <color theme="0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FFEB9C"/>
        <bgColor rgb="FFFFEB9C"/>
      </patternFill>
    </fill>
    <fill>
      <patternFill patternType="solid">
        <fgColor rgb="FF548DD4"/>
        <bgColor rgb="FF548DD4"/>
      </patternFill>
    </fill>
    <fill>
      <patternFill patternType="solid">
        <fgColor rgb="FF953734"/>
        <bgColor rgb="FF953734"/>
      </patternFill>
    </fill>
    <fill>
      <patternFill patternType="solid">
        <fgColor theme="1"/>
        <bgColor theme="1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top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2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6" fillId="3" fontId="5" numFmtId="0" xfId="0" applyBorder="1" applyFill="1" applyFont="1"/>
    <xf borderId="0" fillId="0" fontId="6" numFmtId="0" xfId="0" applyFont="1"/>
    <xf borderId="1" fillId="2" fontId="4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top"/>
    </xf>
    <xf borderId="1" fillId="4" fontId="6" numFmtId="0" xfId="0" applyAlignment="1" applyBorder="1" applyFill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1" fillId="6" fontId="6" numFmtId="0" xfId="0" applyAlignment="1" applyBorder="1" applyFill="1" applyFont="1">
      <alignment horizontal="center" vertical="center"/>
    </xf>
    <xf borderId="1" fillId="6" fontId="7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당해년도수익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'보고서'!$A$8:$E$8</c:f>
            </c:strRef>
          </c:cat>
          <c:val>
            <c:numRef>
              <c:f>'보고서'!$A$9:$E$9</c:f>
              <c:numCache/>
            </c:numRef>
          </c:val>
        </c:ser>
        <c:axId val="357768614"/>
        <c:axId val="513981893"/>
      </c:barChart>
      <c:catAx>
        <c:axId val="357768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13981893"/>
      </c:catAx>
      <c:valAx>
        <c:axId val="513981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57768614"/>
      </c:valAx>
    </c:plotArea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'보고서'!$D$26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'보고서'!$A$27:$A$28</c:f>
            </c:strRef>
          </c:cat>
          <c:val>
            <c:numRef>
              <c:f>'보고서'!$D$27:$D$28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'보고서'!$A$27</c:f>
            </c:strRef>
          </c:tx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'보고서'!$B$26:$C$26</c:f>
            </c:strRef>
          </c:cat>
          <c:val>
            <c:numRef>
              <c:f>'보고서'!$B$27:$C$27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'보고서'!$A$28</c:f>
            </c:strRef>
          </c:tx>
          <c:dPt>
            <c:idx val="0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'보고서'!$B$26:$C$26</c:f>
            </c:strRef>
          </c:cat>
          <c:val>
            <c:numRef>
              <c:f>'보고서'!$B$28:$C$28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10</xdr:row>
      <xdr:rowOff>0</xdr:rowOff>
    </xdr:from>
    <xdr:ext cx="6810375" cy="27241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29</xdr:row>
      <xdr:rowOff>200025</xdr:rowOff>
    </xdr:from>
    <xdr:ext cx="3333750" cy="34766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657225</xdr:colOff>
      <xdr:row>30</xdr:row>
      <xdr:rowOff>0</xdr:rowOff>
    </xdr:from>
    <xdr:ext cx="3400425" cy="1714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647700</xdr:colOff>
      <xdr:row>38</xdr:row>
      <xdr:rowOff>95250</xdr:rowOff>
    </xdr:from>
    <xdr:ext cx="3400425" cy="17240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57"/>
    <col customWidth="1" min="6" max="26" width="8.71"/>
  </cols>
  <sheetData>
    <row r="1" ht="16.5" customHeight="1">
      <c r="A1" s="3" t="str">
        <f>CONCATENATE("▣ 2026년 ",B4,"社 현황 보고서")</f>
        <v>▣ 2026년 기업명1社 현황 보고서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4" ht="16.5" customHeight="1">
      <c r="A4" s="4" t="s">
        <v>0</v>
      </c>
      <c r="B4" s="5" t="s">
        <v>14</v>
      </c>
      <c r="C4" s="6"/>
      <c r="D4" s="6"/>
      <c r="E4" s="6"/>
    </row>
    <row r="5" ht="16.5" customHeight="1">
      <c r="A5" s="7" t="s">
        <v>1</v>
      </c>
      <c r="B5" s="8" t="str">
        <f>VLOOKUP(B4,RAW_DATA!$A$2:$K$101,2,0)</f>
        <v>809-8323-6365</v>
      </c>
      <c r="C5" s="6"/>
      <c r="D5" s="6"/>
      <c r="E5" s="6"/>
    </row>
    <row r="6" ht="16.5" customHeight="1">
      <c r="A6" s="6"/>
      <c r="B6" s="6"/>
      <c r="C6" s="6"/>
      <c r="D6" s="6"/>
      <c r="E6" s="6"/>
    </row>
    <row r="7" ht="16.5" customHeight="1">
      <c r="A7" s="9" t="s">
        <v>2</v>
      </c>
      <c r="B7" s="10"/>
      <c r="C7" s="10"/>
      <c r="D7" s="10"/>
      <c r="E7" s="11"/>
    </row>
    <row r="8" ht="16.5" customHeight="1">
      <c r="A8" s="12" t="s">
        <v>170</v>
      </c>
      <c r="B8" s="4" t="s">
        <v>171</v>
      </c>
      <c r="C8" s="4" t="s">
        <v>172</v>
      </c>
      <c r="D8" s="4" t="s">
        <v>175</v>
      </c>
      <c r="E8" s="4" t="s">
        <v>176</v>
      </c>
    </row>
    <row r="9" ht="16.5" customHeight="1">
      <c r="A9" s="13">
        <f>SUM(B9:E9)</f>
        <v>240141667.5</v>
      </c>
      <c r="B9" s="14">
        <f>VLOOKUP(B4,RAW_DATA!$A$2:$K$101,4,0)</f>
        <v>56704058.36</v>
      </c>
      <c r="C9" s="14">
        <f>VLOOKUP(B4,RAW_DATA!$A$2:$K$101,5,0)</f>
        <v>40666865.39</v>
      </c>
      <c r="D9" s="14">
        <f>VLOOKUP(B4,RAW_DATA!$A$2:$K$101,6,0)</f>
        <v>86181246.4</v>
      </c>
      <c r="E9" s="14">
        <f>VLOOKUP(B4,RAW_DATA!$A$2:$K$101,7,0)</f>
        <v>56589497.37</v>
      </c>
    </row>
    <row r="10" ht="16.5" customHeight="1"/>
    <row r="11" ht="16.5" customHeight="1"/>
    <row r="12" ht="16.5" customHeight="1"/>
    <row r="13" ht="16.5" customHeight="1"/>
    <row r="14" ht="16.5" customHeight="1">
      <c r="G14" s="15"/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>
      <c r="B24" s="16"/>
      <c r="C24" s="16" t="s">
        <v>197</v>
      </c>
      <c r="D24" s="16" t="s">
        <v>199</v>
      </c>
    </row>
    <row r="25" ht="16.5" customHeight="1">
      <c r="B25" s="16"/>
      <c r="C25" s="16">
        <f>MIN(D27,B29)</f>
        <v>178</v>
      </c>
      <c r="D25" s="16">
        <f>MAX(0,B29-D28)</f>
        <v>55</v>
      </c>
    </row>
    <row r="26" ht="16.5" customHeight="1">
      <c r="A26" s="17" t="s">
        <v>205</v>
      </c>
      <c r="B26" s="17" t="s">
        <v>208</v>
      </c>
      <c r="C26" s="17" t="s">
        <v>209</v>
      </c>
      <c r="D26" s="17" t="s">
        <v>210</v>
      </c>
      <c r="E26" s="18"/>
      <c r="F26" s="18"/>
      <c r="G26" s="18"/>
      <c r="H26" s="18"/>
    </row>
    <row r="27" ht="16.5" customHeight="1">
      <c r="A27" s="19" t="s">
        <v>213</v>
      </c>
      <c r="B27" s="19">
        <f>VLOOKUP(B4,RAW_DATA!$A$1:$N$101,10,0)</f>
        <v>88</v>
      </c>
      <c r="C27" s="19">
        <f>VLOOKUP(B4,RAW_DATA!$A$1:$N$101,11,0)</f>
        <v>90</v>
      </c>
      <c r="D27" s="20">
        <f t="shared" ref="D27:D28" si="1">SUM(B27:C27)</f>
        <v>178</v>
      </c>
    </row>
    <row r="28" ht="16.5" customHeight="1">
      <c r="A28" s="21" t="s">
        <v>224</v>
      </c>
      <c r="B28" s="21">
        <f>VLOOKUP(B4,RAW_DATA!$A$1:$N$101,13,0)</f>
        <v>126</v>
      </c>
      <c r="C28" s="21">
        <f>VLOOKUP(B4,RAW_DATA!$A$1:$N$101,14,0)</f>
        <v>33</v>
      </c>
      <c r="D28" s="22">
        <f t="shared" si="1"/>
        <v>159</v>
      </c>
    </row>
    <row r="29" ht="16.5" customHeight="1">
      <c r="A29" s="23" t="s">
        <v>210</v>
      </c>
      <c r="B29" s="24">
        <f t="shared" ref="B29:D29" si="2">B27+B28</f>
        <v>214</v>
      </c>
      <c r="C29" s="24">
        <f t="shared" si="2"/>
        <v>123</v>
      </c>
      <c r="D29" s="23">
        <f t="shared" si="2"/>
        <v>337</v>
      </c>
    </row>
    <row r="30" ht="16.5" customHeight="1"/>
    <row r="31" ht="16.5" customHeight="1"/>
    <row r="32" ht="16.5" customHeight="1">
      <c r="E32" s="25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1">
    <mergeCell ref="A1:E2"/>
  </mergeCells>
  <dataValidations>
    <dataValidation type="list" allowBlank="1" showErrorMessage="1" sqref="B4">
      <formula1>RAW_DATA!$A$2:$A$101</formula1>
    </dataValidation>
  </dataValidations>
  <printOptions/>
  <pageMargins bottom="0.75" footer="0.0" header="0.0" left="0.7" right="0.7" top="0.75"/>
  <pageSetup paperSize="9" scale="7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4" max="7" width="12.71"/>
    <col customWidth="1" min="8" max="8" width="9.29"/>
    <col customWidth="1" min="9" max="9" width="13.29"/>
    <col customWidth="1" min="10" max="11" width="12.71"/>
    <col customWidth="1" min="12" max="12" width="13.29"/>
    <col customWidth="1" min="13" max="14" width="12.71"/>
    <col customWidth="1" min="15" max="25" width="8.71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6.5" customHeight="1">
      <c r="A2" s="2" t="s">
        <v>14</v>
      </c>
      <c r="B2" s="1" t="s">
        <v>15</v>
      </c>
      <c r="C2" s="1">
        <v>2.4014166752084714E8</v>
      </c>
      <c r="D2" s="1">
        <v>5.670405835919914E7</v>
      </c>
      <c r="E2" s="1">
        <v>4.06668653885321E7</v>
      </c>
      <c r="F2" s="1">
        <v>8.618124640369548E7</v>
      </c>
      <c r="G2" s="1">
        <v>5.658949736942042E7</v>
      </c>
      <c r="H2" s="1">
        <v>337.0</v>
      </c>
      <c r="I2" s="1">
        <v>178.0</v>
      </c>
      <c r="J2" s="1">
        <v>88.0</v>
      </c>
      <c r="K2" s="1">
        <v>90.0</v>
      </c>
      <c r="L2" s="1">
        <v>159.0</v>
      </c>
      <c r="M2" s="1">
        <v>126.0</v>
      </c>
      <c r="N2" s="1">
        <v>33.0</v>
      </c>
    </row>
    <row r="3" ht="16.5" customHeight="1">
      <c r="A3" s="2" t="s">
        <v>16</v>
      </c>
      <c r="B3" s="1" t="s">
        <v>17</v>
      </c>
      <c r="C3" s="1">
        <v>4.986364523281544E8</v>
      </c>
      <c r="D3" s="1">
        <v>1.433067488780088E8</v>
      </c>
      <c r="E3" s="1">
        <v>1.181199969141724E8</v>
      </c>
      <c r="F3" s="1">
        <v>1.197960788864025E8</v>
      </c>
      <c r="G3" s="1">
        <v>1.174136276495707E8</v>
      </c>
      <c r="H3" s="1">
        <v>375.0</v>
      </c>
      <c r="I3" s="1">
        <v>198.0</v>
      </c>
      <c r="J3" s="1">
        <v>111.0</v>
      </c>
      <c r="K3" s="1">
        <v>87.0</v>
      </c>
      <c r="L3" s="1">
        <v>177.0</v>
      </c>
      <c r="M3" s="1">
        <v>117.0</v>
      </c>
      <c r="N3" s="1">
        <v>60.0</v>
      </c>
    </row>
    <row r="4" ht="16.5" customHeight="1">
      <c r="A4" s="2" t="s">
        <v>18</v>
      </c>
      <c r="B4" s="1" t="s">
        <v>19</v>
      </c>
      <c r="C4" s="1">
        <v>3.6849639085232353E8</v>
      </c>
      <c r="D4" s="1">
        <v>1.234083911471818E8</v>
      </c>
      <c r="E4" s="1">
        <v>5.392707859007509E7</v>
      </c>
      <c r="F4" s="1">
        <v>9.499371412386927E7</v>
      </c>
      <c r="G4" s="1">
        <v>9.616720699119736E7</v>
      </c>
      <c r="H4" s="1">
        <v>338.0</v>
      </c>
      <c r="I4" s="1">
        <v>179.0</v>
      </c>
      <c r="J4" s="1">
        <v>79.0</v>
      </c>
      <c r="K4" s="1">
        <v>100.0</v>
      </c>
      <c r="L4" s="1">
        <v>159.0</v>
      </c>
      <c r="M4" s="1">
        <v>82.0</v>
      </c>
      <c r="N4" s="1">
        <v>77.0</v>
      </c>
    </row>
    <row r="5" ht="16.5" customHeight="1">
      <c r="A5" s="2" t="s">
        <v>20</v>
      </c>
      <c r="B5" s="1" t="s">
        <v>21</v>
      </c>
      <c r="C5" s="1">
        <v>3.6012078313378775E8</v>
      </c>
      <c r="D5" s="1">
        <v>5.769885976887911E7</v>
      </c>
      <c r="E5" s="1">
        <v>1.49980634487528E8</v>
      </c>
      <c r="F5" s="1">
        <v>7.658110221906884E7</v>
      </c>
      <c r="G5" s="1">
        <v>7.586018665831181E7</v>
      </c>
      <c r="H5" s="1">
        <v>271.0</v>
      </c>
      <c r="I5" s="1">
        <v>143.0</v>
      </c>
      <c r="J5" s="1">
        <v>112.0</v>
      </c>
      <c r="K5" s="1">
        <v>31.0</v>
      </c>
      <c r="L5" s="1">
        <v>128.0</v>
      </c>
      <c r="M5" s="1">
        <v>122.0</v>
      </c>
      <c r="N5" s="1">
        <v>6.0</v>
      </c>
    </row>
    <row r="6" ht="16.5" customHeight="1">
      <c r="A6" s="2" t="s">
        <v>22</v>
      </c>
      <c r="B6" s="1" t="s">
        <v>23</v>
      </c>
      <c r="C6" s="1">
        <v>5.484320767530122E8</v>
      </c>
      <c r="D6" s="1">
        <v>1.043768690597938E8</v>
      </c>
      <c r="E6" s="1">
        <v>1.515980572556571E8</v>
      </c>
      <c r="F6" s="1">
        <v>1.313201583951357E8</v>
      </c>
      <c r="G6" s="1">
        <v>1.611369920424255E8</v>
      </c>
      <c r="H6" s="1">
        <v>49.0</v>
      </c>
      <c r="I6" s="1">
        <v>25.0</v>
      </c>
      <c r="J6" s="1">
        <v>23.0</v>
      </c>
      <c r="K6" s="1">
        <v>2.0</v>
      </c>
      <c r="L6" s="1">
        <v>24.0</v>
      </c>
      <c r="M6" s="1">
        <v>11.0</v>
      </c>
      <c r="N6" s="1">
        <v>13.0</v>
      </c>
    </row>
    <row r="7" ht="16.5" customHeight="1">
      <c r="A7" s="2" t="s">
        <v>24</v>
      </c>
      <c r="B7" s="1" t="s">
        <v>25</v>
      </c>
      <c r="C7" s="1">
        <v>2.0380279872240728E8</v>
      </c>
      <c r="D7" s="1">
        <v>3.477510802224204E7</v>
      </c>
      <c r="E7" s="1">
        <v>5.914739431167361E7</v>
      </c>
      <c r="F7" s="1">
        <v>7.342072507318404E7</v>
      </c>
      <c r="G7" s="1">
        <v>3.645957131530757E7</v>
      </c>
      <c r="H7" s="1">
        <v>345.0</v>
      </c>
      <c r="I7" s="1">
        <v>183.0</v>
      </c>
      <c r="J7" s="1">
        <v>154.0</v>
      </c>
      <c r="K7" s="1">
        <v>29.0</v>
      </c>
      <c r="L7" s="1">
        <v>162.0</v>
      </c>
      <c r="M7" s="1">
        <v>146.0</v>
      </c>
      <c r="N7" s="1">
        <v>16.0</v>
      </c>
    </row>
    <row r="8" ht="16.5" customHeight="1">
      <c r="A8" s="2" t="s">
        <v>26</v>
      </c>
      <c r="B8" s="1" t="s">
        <v>27</v>
      </c>
      <c r="C8" s="1">
        <v>4.3400163287469125E8</v>
      </c>
      <c r="D8" s="1">
        <v>1.530867520778914E8</v>
      </c>
      <c r="E8" s="1">
        <v>6.49900070726925E7</v>
      </c>
      <c r="F8" s="1">
        <v>1.143146503494652E8</v>
      </c>
      <c r="G8" s="1">
        <v>1.016102233746421E8</v>
      </c>
      <c r="H8" s="1">
        <v>345.0</v>
      </c>
      <c r="I8" s="1">
        <v>183.0</v>
      </c>
      <c r="J8" s="1">
        <v>97.0</v>
      </c>
      <c r="K8" s="1">
        <v>86.0</v>
      </c>
      <c r="L8" s="1">
        <v>162.0</v>
      </c>
      <c r="M8" s="1">
        <v>83.0</v>
      </c>
      <c r="N8" s="1">
        <v>79.0</v>
      </c>
    </row>
    <row r="9" ht="16.5" customHeight="1">
      <c r="A9" s="2" t="s">
        <v>28</v>
      </c>
      <c r="B9" s="1" t="s">
        <v>29</v>
      </c>
      <c r="C9" s="1">
        <v>6.401381180078858E8</v>
      </c>
      <c r="D9" s="1">
        <v>1.818919029138775E8</v>
      </c>
      <c r="E9" s="1">
        <v>1.897177258391766E8</v>
      </c>
      <c r="F9" s="1">
        <v>1.684268326352179E8</v>
      </c>
      <c r="G9" s="1">
        <v>1.001016566196138E8</v>
      </c>
      <c r="H9" s="1">
        <v>307.0</v>
      </c>
      <c r="I9" s="1">
        <v>162.0</v>
      </c>
      <c r="J9" s="1">
        <v>66.0</v>
      </c>
      <c r="K9" s="1">
        <v>96.0</v>
      </c>
      <c r="L9" s="1">
        <v>145.0</v>
      </c>
      <c r="M9" s="1">
        <v>118.0</v>
      </c>
      <c r="N9" s="1">
        <v>27.0</v>
      </c>
    </row>
    <row r="10" ht="16.5" customHeight="1">
      <c r="A10" s="2" t="s">
        <v>30</v>
      </c>
      <c r="B10" s="1" t="s">
        <v>31</v>
      </c>
      <c r="C10" s="1">
        <v>4.074754878627095E8</v>
      </c>
      <c r="D10" s="1">
        <v>1.442640194256491E8</v>
      </c>
      <c r="E10" s="1">
        <v>9.326027061360948E7</v>
      </c>
      <c r="F10" s="1">
        <v>7.796001451351228E7</v>
      </c>
      <c r="G10" s="1">
        <v>9.199118330993864E7</v>
      </c>
      <c r="H10" s="1">
        <v>483.0</v>
      </c>
      <c r="I10" s="1">
        <v>256.0</v>
      </c>
      <c r="J10" s="1">
        <v>211.0</v>
      </c>
      <c r="K10" s="1">
        <v>45.0</v>
      </c>
      <c r="L10" s="1">
        <v>227.0</v>
      </c>
      <c r="M10" s="1">
        <v>141.0</v>
      </c>
      <c r="N10" s="1">
        <v>86.0</v>
      </c>
    </row>
    <row r="11" ht="16.5" customHeight="1">
      <c r="A11" s="2" t="s">
        <v>32</v>
      </c>
      <c r="B11" s="1" t="s">
        <v>33</v>
      </c>
      <c r="C11" s="1">
        <v>6.489327806585603E8</v>
      </c>
      <c r="D11" s="1">
        <v>1.256255245466352E8</v>
      </c>
      <c r="E11" s="1">
        <v>1.643405476654117E8</v>
      </c>
      <c r="F11" s="1">
        <v>1.866997321969616E8</v>
      </c>
      <c r="G11" s="1">
        <v>1.722669762495517E8</v>
      </c>
      <c r="H11" s="1">
        <v>160.0</v>
      </c>
      <c r="I11" s="1">
        <v>84.0</v>
      </c>
      <c r="J11" s="1">
        <v>40.0</v>
      </c>
      <c r="K11" s="1">
        <v>44.0</v>
      </c>
      <c r="L11" s="1">
        <v>76.0</v>
      </c>
      <c r="M11" s="1">
        <v>37.0</v>
      </c>
      <c r="N11" s="1">
        <v>39.0</v>
      </c>
    </row>
    <row r="12" ht="16.5" customHeight="1">
      <c r="A12" s="2" t="s">
        <v>34</v>
      </c>
      <c r="B12" s="1" t="s">
        <v>35</v>
      </c>
      <c r="C12" s="1">
        <v>5.93124061597795E8</v>
      </c>
      <c r="D12" s="1">
        <v>1.581471403533359E8</v>
      </c>
      <c r="E12" s="1">
        <v>1.616725731065995E8</v>
      </c>
      <c r="F12" s="1">
        <v>1.34294210085217E8</v>
      </c>
      <c r="G12" s="1">
        <v>1.390101380526426E8</v>
      </c>
      <c r="H12" s="1">
        <v>483.0</v>
      </c>
      <c r="I12" s="1">
        <v>256.0</v>
      </c>
      <c r="J12" s="1">
        <v>207.0</v>
      </c>
      <c r="K12" s="1">
        <v>49.0</v>
      </c>
      <c r="L12" s="1">
        <v>227.0</v>
      </c>
      <c r="M12" s="1">
        <v>86.0</v>
      </c>
      <c r="N12" s="1">
        <v>141.0</v>
      </c>
    </row>
    <row r="13" ht="16.5" customHeight="1">
      <c r="A13" s="2" t="s">
        <v>36</v>
      </c>
      <c r="B13" s="1" t="s">
        <v>37</v>
      </c>
      <c r="C13" s="1">
        <v>7.394464469469942E8</v>
      </c>
      <c r="D13" s="1">
        <v>1.941496690274507E8</v>
      </c>
      <c r="E13" s="1">
        <v>1.098147023717563E8</v>
      </c>
      <c r="F13" s="1">
        <v>2.452792062253523E8</v>
      </c>
      <c r="G13" s="1">
        <v>1.902028693224349E8</v>
      </c>
      <c r="H13" s="1">
        <v>227.0</v>
      </c>
      <c r="I13" s="1">
        <v>120.0</v>
      </c>
      <c r="J13" s="1">
        <v>97.0</v>
      </c>
      <c r="K13" s="1">
        <v>23.0</v>
      </c>
      <c r="L13" s="1">
        <v>107.0</v>
      </c>
      <c r="M13" s="1">
        <v>77.0</v>
      </c>
      <c r="N13" s="1">
        <v>30.0</v>
      </c>
    </row>
    <row r="14" ht="16.5" customHeight="1">
      <c r="A14" s="2" t="s">
        <v>38</v>
      </c>
      <c r="B14" s="1" t="s">
        <v>39</v>
      </c>
      <c r="C14" s="1">
        <v>2.5663080130191886E8</v>
      </c>
      <c r="D14" s="1">
        <v>7.754143680826332E7</v>
      </c>
      <c r="E14" s="1">
        <v>5.94294894436247E7</v>
      </c>
      <c r="F14" s="1">
        <v>3.861723389500742E7</v>
      </c>
      <c r="G14" s="1">
        <v>8.104264115502346E7</v>
      </c>
      <c r="H14" s="1">
        <v>413.0</v>
      </c>
      <c r="I14" s="1">
        <v>219.0</v>
      </c>
      <c r="J14" s="1">
        <v>182.0</v>
      </c>
      <c r="K14" s="1">
        <v>37.0</v>
      </c>
      <c r="L14" s="1">
        <v>194.0</v>
      </c>
      <c r="M14" s="1">
        <v>82.0</v>
      </c>
      <c r="N14" s="1">
        <v>112.0</v>
      </c>
    </row>
    <row r="15" ht="16.5" customHeight="1">
      <c r="A15" s="2" t="s">
        <v>40</v>
      </c>
      <c r="B15" s="1" t="s">
        <v>41</v>
      </c>
      <c r="C15" s="1">
        <v>6.396587990886762E8</v>
      </c>
      <c r="D15" s="1">
        <v>1.985093940269096E8</v>
      </c>
      <c r="E15" s="1">
        <v>1.5391768891429E8</v>
      </c>
      <c r="F15" s="1">
        <v>2.077234220552772E8</v>
      </c>
      <c r="G15" s="1">
        <v>7.950829409219944E7</v>
      </c>
      <c r="H15" s="1">
        <v>328.0</v>
      </c>
      <c r="I15" s="1">
        <v>174.0</v>
      </c>
      <c r="J15" s="1">
        <v>137.0</v>
      </c>
      <c r="K15" s="1">
        <v>37.0</v>
      </c>
      <c r="L15" s="1">
        <v>154.0</v>
      </c>
      <c r="M15" s="1">
        <v>138.0</v>
      </c>
      <c r="N15" s="1">
        <v>16.0</v>
      </c>
    </row>
    <row r="16" ht="16.5" customHeight="1">
      <c r="A16" s="2" t="s">
        <v>42</v>
      </c>
      <c r="B16" s="1" t="s">
        <v>43</v>
      </c>
      <c r="C16" s="1">
        <v>2.7857221905362415E8</v>
      </c>
      <c r="D16" s="1">
        <v>6.214039526568725E7</v>
      </c>
      <c r="E16" s="1">
        <v>5.178620080656587E7</v>
      </c>
      <c r="F16" s="1">
        <v>6.811144527964716E7</v>
      </c>
      <c r="G16" s="1">
        <v>9.653417770172389E7</v>
      </c>
      <c r="H16" s="1">
        <v>295.0</v>
      </c>
      <c r="I16" s="1">
        <v>156.0</v>
      </c>
      <c r="J16" s="1">
        <v>130.0</v>
      </c>
      <c r="K16" s="1">
        <v>26.0</v>
      </c>
      <c r="L16" s="1">
        <v>139.0</v>
      </c>
      <c r="M16" s="1">
        <v>119.0</v>
      </c>
      <c r="N16" s="1">
        <v>20.0</v>
      </c>
    </row>
    <row r="17" ht="16.5" customHeight="1">
      <c r="A17" s="2" t="s">
        <v>44</v>
      </c>
      <c r="B17" s="1" t="s">
        <v>45</v>
      </c>
      <c r="C17" s="1">
        <v>1.5074071474106422E8</v>
      </c>
      <c r="D17" s="1">
        <v>5.50625630264742E7</v>
      </c>
      <c r="E17" s="1">
        <v>2.766299366561785E7</v>
      </c>
      <c r="F17" s="1">
        <v>2.258586633509278E7</v>
      </c>
      <c r="G17" s="1">
        <v>4.54292917138794E7</v>
      </c>
      <c r="H17" s="1">
        <v>275.0</v>
      </c>
      <c r="I17" s="1">
        <v>145.0</v>
      </c>
      <c r="J17" s="1">
        <v>97.0</v>
      </c>
      <c r="K17" s="1">
        <v>48.0</v>
      </c>
      <c r="L17" s="1">
        <v>130.0</v>
      </c>
      <c r="M17" s="1">
        <v>51.0</v>
      </c>
      <c r="N17" s="1">
        <v>79.0</v>
      </c>
    </row>
    <row r="18" ht="16.5" customHeight="1">
      <c r="A18" s="2" t="s">
        <v>46</v>
      </c>
      <c r="B18" s="1" t="s">
        <v>47</v>
      </c>
      <c r="C18" s="1">
        <v>4.87876949309106E8</v>
      </c>
      <c r="D18" s="1">
        <v>7.607445170675951E7</v>
      </c>
      <c r="E18" s="1">
        <v>1.531842785938748E8</v>
      </c>
      <c r="F18" s="1">
        <v>1.050231207304902E8</v>
      </c>
      <c r="G18" s="1">
        <v>1.535950982779815E8</v>
      </c>
      <c r="H18" s="1">
        <v>405.0</v>
      </c>
      <c r="I18" s="1">
        <v>214.0</v>
      </c>
      <c r="J18" s="1">
        <v>78.0</v>
      </c>
      <c r="K18" s="1">
        <v>136.0</v>
      </c>
      <c r="L18" s="1">
        <v>191.0</v>
      </c>
      <c r="M18" s="1">
        <v>69.0</v>
      </c>
      <c r="N18" s="1">
        <v>122.0</v>
      </c>
    </row>
    <row r="19" ht="16.5" customHeight="1">
      <c r="A19" s="2" t="s">
        <v>48</v>
      </c>
      <c r="B19" s="1" t="s">
        <v>49</v>
      </c>
      <c r="C19" s="1">
        <v>2.4453058568388343E8</v>
      </c>
      <c r="D19" s="1">
        <v>6.619887168484613E7</v>
      </c>
      <c r="E19" s="1">
        <v>7.040185062169097E7</v>
      </c>
      <c r="F19" s="1">
        <v>7.832222583427927E7</v>
      </c>
      <c r="G19" s="1">
        <v>2.960763754306706E7</v>
      </c>
      <c r="H19" s="1">
        <v>391.0</v>
      </c>
      <c r="I19" s="1">
        <v>207.0</v>
      </c>
      <c r="J19" s="1">
        <v>75.0</v>
      </c>
      <c r="K19" s="1">
        <v>132.0</v>
      </c>
      <c r="L19" s="1">
        <v>184.0</v>
      </c>
      <c r="M19" s="1">
        <v>165.0</v>
      </c>
      <c r="N19" s="1">
        <v>19.0</v>
      </c>
    </row>
    <row r="20" ht="16.5" customHeight="1">
      <c r="A20" s="2" t="s">
        <v>50</v>
      </c>
      <c r="B20" s="1" t="s">
        <v>51</v>
      </c>
      <c r="C20" s="1">
        <v>2.814452097076981E8</v>
      </c>
      <c r="D20" s="1">
        <v>5.366239090696945E7</v>
      </c>
      <c r="E20" s="1">
        <v>6.306089509553578E7</v>
      </c>
      <c r="F20" s="1">
        <v>6.12190269945288E7</v>
      </c>
      <c r="G20" s="1">
        <v>1.035028967106641E8</v>
      </c>
      <c r="H20" s="1">
        <v>109.0</v>
      </c>
      <c r="I20" s="1">
        <v>57.0</v>
      </c>
      <c r="J20" s="1">
        <v>36.0</v>
      </c>
      <c r="K20" s="1">
        <v>21.0</v>
      </c>
      <c r="L20" s="1">
        <v>52.0</v>
      </c>
      <c r="M20" s="1">
        <v>30.0</v>
      </c>
      <c r="N20" s="1">
        <v>22.0</v>
      </c>
    </row>
    <row r="21" ht="16.5" customHeight="1">
      <c r="A21" s="2" t="s">
        <v>52</v>
      </c>
      <c r="B21" s="1" t="s">
        <v>53</v>
      </c>
      <c r="C21" s="1">
        <v>1.9030025751381618E8</v>
      </c>
      <c r="D21" s="1">
        <v>4.656265624543156E7</v>
      </c>
      <c r="E21" s="1">
        <v>5.418345172176117E7</v>
      </c>
      <c r="F21" s="1">
        <v>6.588970705194063E7</v>
      </c>
      <c r="G21" s="1">
        <v>2.366444249468283E7</v>
      </c>
      <c r="H21" s="1">
        <v>36.0</v>
      </c>
      <c r="I21" s="1">
        <v>19.0</v>
      </c>
      <c r="J21" s="1">
        <v>13.0</v>
      </c>
      <c r="K21" s="1">
        <v>6.0</v>
      </c>
      <c r="L21" s="1">
        <v>17.0</v>
      </c>
      <c r="M21" s="1">
        <v>12.0</v>
      </c>
      <c r="N21" s="1">
        <v>5.0</v>
      </c>
    </row>
    <row r="22" ht="16.5" customHeight="1">
      <c r="A22" s="2" t="s">
        <v>54</v>
      </c>
      <c r="B22" s="1" t="s">
        <v>55</v>
      </c>
      <c r="C22" s="1">
        <v>3.1301324704319614E8</v>
      </c>
      <c r="D22" s="1">
        <v>9.986938408435856E7</v>
      </c>
      <c r="E22" s="1">
        <v>8.530441371502511E7</v>
      </c>
      <c r="F22" s="1">
        <v>7.406616896481608E7</v>
      </c>
      <c r="G22" s="1">
        <v>5.377328027899642E7</v>
      </c>
      <c r="H22" s="1">
        <v>369.0</v>
      </c>
      <c r="I22" s="1">
        <v>195.0</v>
      </c>
      <c r="J22" s="1">
        <v>107.0</v>
      </c>
      <c r="K22" s="1">
        <v>88.0</v>
      </c>
      <c r="L22" s="1">
        <v>174.0</v>
      </c>
      <c r="M22" s="1">
        <v>103.0</v>
      </c>
      <c r="N22" s="1">
        <v>71.0</v>
      </c>
    </row>
    <row r="23" ht="16.5" customHeight="1">
      <c r="A23" s="2" t="s">
        <v>56</v>
      </c>
      <c r="B23" s="1" t="s">
        <v>57</v>
      </c>
      <c r="C23" s="1">
        <v>6.874554223012602E8</v>
      </c>
      <c r="D23" s="1">
        <v>1.778267488513213E8</v>
      </c>
      <c r="E23" s="1">
        <v>1.868150718864275E8</v>
      </c>
      <c r="F23" s="1">
        <v>1.236851901729644E8</v>
      </c>
      <c r="G23" s="1">
        <v>1.991284113905471E8</v>
      </c>
      <c r="H23" s="1">
        <v>265.0</v>
      </c>
      <c r="I23" s="1">
        <v>140.0</v>
      </c>
      <c r="J23" s="1">
        <v>53.0</v>
      </c>
      <c r="K23" s="1">
        <v>87.0</v>
      </c>
      <c r="L23" s="1">
        <v>125.0</v>
      </c>
      <c r="M23" s="1">
        <v>99.0</v>
      </c>
      <c r="N23" s="1">
        <v>26.0</v>
      </c>
    </row>
    <row r="24" ht="16.5" customHeight="1">
      <c r="A24" s="2" t="s">
        <v>58</v>
      </c>
      <c r="B24" s="1" t="s">
        <v>59</v>
      </c>
      <c r="C24" s="1">
        <v>6.563531999887248E8</v>
      </c>
      <c r="D24" s="1">
        <v>2.086646732782355E8</v>
      </c>
      <c r="E24" s="1">
        <v>1.202811077470942E8</v>
      </c>
      <c r="F24" s="1">
        <v>2.203395452730807E8</v>
      </c>
      <c r="G24" s="1">
        <v>1.070678736903144E8</v>
      </c>
      <c r="H24" s="1">
        <v>220.0</v>
      </c>
      <c r="I24" s="1">
        <v>116.0</v>
      </c>
      <c r="J24" s="1">
        <v>56.0</v>
      </c>
      <c r="K24" s="1">
        <v>60.0</v>
      </c>
      <c r="L24" s="1">
        <v>104.0</v>
      </c>
      <c r="M24" s="1">
        <v>37.0</v>
      </c>
      <c r="N24" s="1">
        <v>67.0</v>
      </c>
    </row>
    <row r="25" ht="16.5" customHeight="1">
      <c r="A25" s="2" t="s">
        <v>60</v>
      </c>
      <c r="B25" s="1" t="s">
        <v>61</v>
      </c>
      <c r="C25" s="1">
        <v>3.8932911213290787E8</v>
      </c>
      <c r="D25" s="1">
        <v>9.233391961633626E7</v>
      </c>
      <c r="E25" s="1">
        <v>1.217849373964586E8</v>
      </c>
      <c r="F25" s="1">
        <v>9.085226036051677E7</v>
      </c>
      <c r="G25" s="1">
        <v>8.435799475959624E7</v>
      </c>
      <c r="H25" s="1">
        <v>82.0</v>
      </c>
      <c r="I25" s="1">
        <v>43.0</v>
      </c>
      <c r="J25" s="1">
        <v>15.0</v>
      </c>
      <c r="K25" s="1">
        <v>28.0</v>
      </c>
      <c r="L25" s="1">
        <v>39.0</v>
      </c>
      <c r="M25" s="1">
        <v>21.0</v>
      </c>
      <c r="N25" s="1">
        <v>18.0</v>
      </c>
    </row>
    <row r="26" ht="16.5" customHeight="1">
      <c r="A26" s="2" t="s">
        <v>62</v>
      </c>
      <c r="B26" s="1" t="s">
        <v>63</v>
      </c>
      <c r="C26" s="1">
        <v>2.670440702014926E8</v>
      </c>
      <c r="D26" s="1">
        <v>5.622938831231995E7</v>
      </c>
      <c r="E26" s="1">
        <v>6.209399254479061E7</v>
      </c>
      <c r="F26" s="1">
        <v>4.663212072610755E7</v>
      </c>
      <c r="G26" s="1">
        <v>1.020885686182745E8</v>
      </c>
      <c r="H26" s="1">
        <v>265.0</v>
      </c>
      <c r="I26" s="1">
        <v>140.0</v>
      </c>
      <c r="J26" s="1">
        <v>126.0</v>
      </c>
      <c r="K26" s="1">
        <v>14.0</v>
      </c>
      <c r="L26" s="1">
        <v>125.0</v>
      </c>
      <c r="M26" s="1">
        <v>62.0</v>
      </c>
      <c r="N26" s="1">
        <v>63.0</v>
      </c>
    </row>
    <row r="27" ht="16.5" customHeight="1">
      <c r="A27" s="2" t="s">
        <v>64</v>
      </c>
      <c r="B27" s="1" t="s">
        <v>65</v>
      </c>
      <c r="C27" s="1">
        <v>3.703671467595104E8</v>
      </c>
      <c r="D27" s="1">
        <v>6.708011733620723E7</v>
      </c>
      <c r="E27" s="1">
        <v>7.589317871371308E7</v>
      </c>
      <c r="F27" s="1">
        <v>1.263365342831055E8</v>
      </c>
      <c r="G27" s="1">
        <v>1.010573164264846E8</v>
      </c>
      <c r="H27" s="1">
        <v>139.0</v>
      </c>
      <c r="I27" s="1">
        <v>73.0</v>
      </c>
      <c r="J27" s="1">
        <v>25.0</v>
      </c>
      <c r="K27" s="1">
        <v>48.0</v>
      </c>
      <c r="L27" s="1">
        <v>66.0</v>
      </c>
      <c r="M27" s="1">
        <v>49.0</v>
      </c>
      <c r="N27" s="1">
        <v>17.0</v>
      </c>
    </row>
    <row r="28" ht="16.5" customHeight="1">
      <c r="A28" s="2" t="s">
        <v>66</v>
      </c>
      <c r="B28" s="1" t="s">
        <v>67</v>
      </c>
      <c r="C28" s="1">
        <v>4.7749724234420073E8</v>
      </c>
      <c r="D28" s="1">
        <v>9.820742967932709E7</v>
      </c>
      <c r="E28" s="1">
        <v>1.401950169285977E8</v>
      </c>
      <c r="F28" s="1">
        <v>1.223919552678885E8</v>
      </c>
      <c r="G28" s="1">
        <v>1.167028404683875E8</v>
      </c>
      <c r="H28" s="1">
        <v>365.0</v>
      </c>
      <c r="I28" s="1">
        <v>193.0</v>
      </c>
      <c r="J28" s="1">
        <v>175.0</v>
      </c>
      <c r="K28" s="1">
        <v>18.0</v>
      </c>
      <c r="L28" s="1">
        <v>172.0</v>
      </c>
      <c r="M28" s="1">
        <v>69.0</v>
      </c>
      <c r="N28" s="1">
        <v>103.0</v>
      </c>
    </row>
    <row r="29" ht="16.5" customHeight="1">
      <c r="A29" s="2" t="s">
        <v>68</v>
      </c>
      <c r="B29" s="1" t="s">
        <v>69</v>
      </c>
      <c r="C29" s="1">
        <v>4.700644566412951E8</v>
      </c>
      <c r="D29" s="1">
        <v>1.381200383121948E8</v>
      </c>
      <c r="E29" s="1">
        <v>8.04161549134328E7</v>
      </c>
      <c r="F29" s="1">
        <v>1.494868093505339E8</v>
      </c>
      <c r="G29" s="1">
        <v>1.020414540651336E8</v>
      </c>
      <c r="H29" s="1">
        <v>124.0</v>
      </c>
      <c r="I29" s="1">
        <v>65.0</v>
      </c>
      <c r="J29" s="1">
        <v>41.0</v>
      </c>
      <c r="K29" s="1">
        <v>24.0</v>
      </c>
      <c r="L29" s="1">
        <v>59.0</v>
      </c>
      <c r="M29" s="1">
        <v>53.0</v>
      </c>
      <c r="N29" s="1">
        <v>6.0</v>
      </c>
    </row>
    <row r="30" ht="16.5" customHeight="1">
      <c r="A30" s="2" t="s">
        <v>70</v>
      </c>
      <c r="B30" s="1" t="s">
        <v>71</v>
      </c>
      <c r="C30" s="1">
        <v>1.3401766283370204E8</v>
      </c>
      <c r="D30" s="1">
        <v>5.511664139552293E7</v>
      </c>
      <c r="E30" s="1">
        <v>2.577434936628913E7</v>
      </c>
      <c r="F30" s="1">
        <v>1.904557738212338E7</v>
      </c>
      <c r="G30" s="1">
        <v>3.40810946897666E7</v>
      </c>
      <c r="H30" s="1">
        <v>251.0</v>
      </c>
      <c r="I30" s="1">
        <v>133.0</v>
      </c>
      <c r="J30" s="1">
        <v>121.0</v>
      </c>
      <c r="K30" s="1">
        <v>12.0</v>
      </c>
      <c r="L30" s="1">
        <v>118.0</v>
      </c>
      <c r="M30" s="1">
        <v>69.0</v>
      </c>
      <c r="N30" s="1">
        <v>49.0</v>
      </c>
    </row>
    <row r="31" ht="16.5" customHeight="1">
      <c r="A31" s="2" t="s">
        <v>72</v>
      </c>
      <c r="B31" s="1" t="s">
        <v>73</v>
      </c>
      <c r="C31" s="1">
        <v>4.201954074363466E8</v>
      </c>
      <c r="D31" s="1">
        <v>9.73551293488443E7</v>
      </c>
      <c r="E31" s="1">
        <v>1.241064290596414E8</v>
      </c>
      <c r="F31" s="1">
        <v>7.73610987016941E7</v>
      </c>
      <c r="G31" s="1">
        <v>1.213727503261668E8</v>
      </c>
      <c r="H31" s="1">
        <v>184.0</v>
      </c>
      <c r="I31" s="1">
        <v>97.0</v>
      </c>
      <c r="J31" s="1">
        <v>46.0</v>
      </c>
      <c r="K31" s="1">
        <v>51.0</v>
      </c>
      <c r="L31" s="1">
        <v>87.0</v>
      </c>
      <c r="M31" s="1">
        <v>77.0</v>
      </c>
      <c r="N31" s="1">
        <v>10.0</v>
      </c>
    </row>
    <row r="32" ht="16.5" customHeight="1">
      <c r="A32" s="2" t="s">
        <v>74</v>
      </c>
      <c r="B32" s="1" t="s">
        <v>75</v>
      </c>
      <c r="C32" s="1">
        <v>3.1025998090881634E8</v>
      </c>
      <c r="D32" s="1">
        <v>5.266883742303272E7</v>
      </c>
      <c r="E32" s="1">
        <v>7.968911525254022E7</v>
      </c>
      <c r="F32" s="1">
        <v>1.102546671365257E8</v>
      </c>
      <c r="G32" s="1">
        <v>6.76473610967177E7</v>
      </c>
      <c r="H32" s="1">
        <v>321.0</v>
      </c>
      <c r="I32" s="1">
        <v>170.0</v>
      </c>
      <c r="J32" s="1">
        <v>139.0</v>
      </c>
      <c r="K32" s="1">
        <v>31.0</v>
      </c>
      <c r="L32" s="1">
        <v>151.0</v>
      </c>
      <c r="M32" s="1">
        <v>68.0</v>
      </c>
      <c r="N32" s="1">
        <v>83.0</v>
      </c>
    </row>
    <row r="33" ht="16.5" customHeight="1">
      <c r="A33" s="2" t="s">
        <v>76</v>
      </c>
      <c r="B33" s="1" t="s">
        <v>77</v>
      </c>
      <c r="C33" s="1">
        <v>9.021840150199716E8</v>
      </c>
      <c r="D33" s="1">
        <v>2.428542639791537E8</v>
      </c>
      <c r="E33" s="1">
        <v>1.468948693181263E8</v>
      </c>
      <c r="F33" s="1">
        <v>2.159297132871145E8</v>
      </c>
      <c r="G33" s="1">
        <v>2.965051684355771E8</v>
      </c>
      <c r="H33" s="1">
        <v>20.0</v>
      </c>
      <c r="I33" s="1">
        <v>10.0</v>
      </c>
      <c r="J33" s="1">
        <v>8.0</v>
      </c>
      <c r="K33" s="1">
        <v>2.0</v>
      </c>
      <c r="L33" s="1">
        <v>10.0</v>
      </c>
      <c r="M33" s="1">
        <v>7.0</v>
      </c>
      <c r="N33" s="1">
        <v>3.0</v>
      </c>
    </row>
    <row r="34" ht="16.5" customHeight="1">
      <c r="A34" s="2" t="s">
        <v>78</v>
      </c>
      <c r="B34" s="1" t="s">
        <v>79</v>
      </c>
      <c r="C34" s="1">
        <v>2.2230818188240254E8</v>
      </c>
      <c r="D34" s="1">
        <v>6.519378425222097E7</v>
      </c>
      <c r="E34" s="1">
        <v>5.234120407175104E7</v>
      </c>
      <c r="F34" s="1">
        <v>5.302573036489883E7</v>
      </c>
      <c r="G34" s="1">
        <v>5.174746319353171E7</v>
      </c>
      <c r="H34" s="1">
        <v>212.0</v>
      </c>
      <c r="I34" s="1">
        <v>112.0</v>
      </c>
      <c r="J34" s="1">
        <v>56.0</v>
      </c>
      <c r="K34" s="1">
        <v>56.0</v>
      </c>
      <c r="L34" s="1">
        <v>100.0</v>
      </c>
      <c r="M34" s="1">
        <v>61.0</v>
      </c>
      <c r="N34" s="1">
        <v>39.0</v>
      </c>
    </row>
    <row r="35" ht="16.5" customHeight="1">
      <c r="A35" s="2" t="s">
        <v>80</v>
      </c>
      <c r="B35" s="1" t="s">
        <v>81</v>
      </c>
      <c r="C35" s="1">
        <v>6.600772950590521E8</v>
      </c>
      <c r="D35" s="1">
        <v>1.802109954422091E8</v>
      </c>
      <c r="E35" s="1">
        <v>1.643484150884965E8</v>
      </c>
      <c r="F35" s="1">
        <v>1.210132936750566E8</v>
      </c>
      <c r="G35" s="1">
        <v>1.9450459085329E8</v>
      </c>
      <c r="H35" s="1">
        <v>290.0</v>
      </c>
      <c r="I35" s="1">
        <v>153.0</v>
      </c>
      <c r="J35" s="1">
        <v>105.0</v>
      </c>
      <c r="K35" s="1">
        <v>48.0</v>
      </c>
      <c r="L35" s="1">
        <v>137.0</v>
      </c>
      <c r="M35" s="1">
        <v>48.0</v>
      </c>
      <c r="N35" s="1">
        <v>89.0</v>
      </c>
    </row>
    <row r="36" ht="16.5" customHeight="1">
      <c r="A36" s="2" t="s">
        <v>82</v>
      </c>
      <c r="B36" s="1" t="s">
        <v>83</v>
      </c>
      <c r="C36" s="1">
        <v>5.2105444265670085E8</v>
      </c>
      <c r="D36" s="1">
        <v>9.195353204258014E7</v>
      </c>
      <c r="E36" s="1">
        <v>1.801713635509643E8</v>
      </c>
      <c r="F36" s="1">
        <v>1.390145812488499E8</v>
      </c>
      <c r="G36" s="1">
        <v>1.099149658143065E8</v>
      </c>
      <c r="H36" s="1">
        <v>361.0</v>
      </c>
      <c r="I36" s="1">
        <v>191.0</v>
      </c>
      <c r="J36" s="1">
        <v>153.0</v>
      </c>
      <c r="K36" s="1">
        <v>38.0</v>
      </c>
      <c r="L36" s="1">
        <v>170.0</v>
      </c>
      <c r="M36" s="1">
        <v>90.0</v>
      </c>
      <c r="N36" s="1">
        <v>80.0</v>
      </c>
    </row>
    <row r="37" ht="16.5" customHeight="1">
      <c r="A37" s="2" t="s">
        <v>84</v>
      </c>
      <c r="B37" s="1" t="s">
        <v>85</v>
      </c>
      <c r="C37" s="1">
        <v>5.2646284217192364E8</v>
      </c>
      <c r="D37" s="1">
        <v>6.607971919099661E7</v>
      </c>
      <c r="E37" s="1">
        <v>1.697803755602916E8</v>
      </c>
      <c r="F37" s="1">
        <v>1.151277921450646E8</v>
      </c>
      <c r="G37" s="1">
        <v>1.754749552755708E8</v>
      </c>
      <c r="H37" s="1">
        <v>53.0</v>
      </c>
      <c r="I37" s="1">
        <v>28.0</v>
      </c>
      <c r="J37" s="1">
        <v>10.0</v>
      </c>
      <c r="K37" s="1">
        <v>18.0</v>
      </c>
      <c r="L37" s="1">
        <v>25.0</v>
      </c>
      <c r="M37" s="1">
        <v>10.0</v>
      </c>
      <c r="N37" s="1">
        <v>15.0</v>
      </c>
    </row>
    <row r="38" ht="16.5" customHeight="1">
      <c r="A38" s="2" t="s">
        <v>86</v>
      </c>
      <c r="B38" s="1" t="s">
        <v>87</v>
      </c>
      <c r="C38" s="1">
        <v>2.5325009433797285E8</v>
      </c>
      <c r="D38" s="1">
        <v>5.6434926548627E7</v>
      </c>
      <c r="E38" s="1">
        <v>9.318078540490629E7</v>
      </c>
      <c r="F38" s="1">
        <v>5.68629908122067E7</v>
      </c>
      <c r="G38" s="1">
        <v>4.677139157223288E7</v>
      </c>
      <c r="H38" s="1">
        <v>485.0</v>
      </c>
      <c r="I38" s="1">
        <v>257.0</v>
      </c>
      <c r="J38" s="1">
        <v>143.0</v>
      </c>
      <c r="K38" s="1">
        <v>114.0</v>
      </c>
      <c r="L38" s="1">
        <v>228.0</v>
      </c>
      <c r="M38" s="1">
        <v>138.0</v>
      </c>
      <c r="N38" s="1">
        <v>90.0</v>
      </c>
    </row>
    <row r="39" ht="16.5" customHeight="1">
      <c r="A39" s="2" t="s">
        <v>88</v>
      </c>
      <c r="B39" s="1" t="s">
        <v>89</v>
      </c>
      <c r="C39" s="1">
        <v>2.4304551763986018E8</v>
      </c>
      <c r="D39" s="1">
        <v>8.780681793016803E7</v>
      </c>
      <c r="E39" s="1">
        <v>5.499358074224626E7</v>
      </c>
      <c r="F39" s="1">
        <v>5.8316861911192E7</v>
      </c>
      <c r="G39" s="1">
        <v>4.192825705625387E7</v>
      </c>
      <c r="H39" s="1">
        <v>151.0</v>
      </c>
      <c r="I39" s="1">
        <v>80.0</v>
      </c>
      <c r="J39" s="1">
        <v>27.0</v>
      </c>
      <c r="K39" s="1">
        <v>53.0</v>
      </c>
      <c r="L39" s="1">
        <v>71.0</v>
      </c>
      <c r="M39" s="1">
        <v>35.0</v>
      </c>
      <c r="N39" s="1">
        <v>36.0</v>
      </c>
    </row>
    <row r="40" ht="16.5" customHeight="1">
      <c r="A40" s="2" t="s">
        <v>90</v>
      </c>
      <c r="B40" s="1" t="s">
        <v>91</v>
      </c>
      <c r="C40" s="1">
        <v>1.2390212182908729E8</v>
      </c>
      <c r="D40" s="1">
        <v>3.50336666714549E7</v>
      </c>
      <c r="E40" s="1">
        <v>2.049537636839673E7</v>
      </c>
      <c r="F40" s="1">
        <v>1.999998230890499E7</v>
      </c>
      <c r="G40" s="1">
        <v>4.837309648033067E7</v>
      </c>
      <c r="H40" s="1">
        <v>472.0</v>
      </c>
      <c r="I40" s="1">
        <v>250.0</v>
      </c>
      <c r="J40" s="1">
        <v>131.0</v>
      </c>
      <c r="K40" s="1">
        <v>119.0</v>
      </c>
      <c r="L40" s="1">
        <v>222.0</v>
      </c>
      <c r="M40" s="1">
        <v>94.0</v>
      </c>
      <c r="N40" s="1">
        <v>128.0</v>
      </c>
    </row>
    <row r="41" ht="16.5" customHeight="1">
      <c r="A41" s="2" t="s">
        <v>92</v>
      </c>
      <c r="B41" s="1" t="s">
        <v>93</v>
      </c>
      <c r="C41" s="1">
        <v>1.684135908047439E8</v>
      </c>
      <c r="D41" s="1">
        <v>3.62438815003868E7</v>
      </c>
      <c r="E41" s="1">
        <v>3.814881855929431E7</v>
      </c>
      <c r="F41" s="1">
        <v>2.593163638586293E7</v>
      </c>
      <c r="G41" s="1">
        <v>6.808925435919985E7</v>
      </c>
      <c r="H41" s="1">
        <v>65.0</v>
      </c>
      <c r="I41" s="1">
        <v>34.0</v>
      </c>
      <c r="J41" s="1">
        <v>33.0</v>
      </c>
      <c r="K41" s="1">
        <v>1.0</v>
      </c>
      <c r="L41" s="1">
        <v>31.0</v>
      </c>
      <c r="M41" s="1">
        <v>28.0</v>
      </c>
      <c r="N41" s="1">
        <v>3.0</v>
      </c>
    </row>
    <row r="42" ht="16.5" customHeight="1">
      <c r="A42" s="2" t="s">
        <v>94</v>
      </c>
      <c r="B42" s="1" t="s">
        <v>95</v>
      </c>
      <c r="C42" s="1">
        <v>7.542887906739069E8</v>
      </c>
      <c r="D42" s="1">
        <v>2.492492857896283E8</v>
      </c>
      <c r="E42" s="1">
        <v>1.731205759062699E8</v>
      </c>
      <c r="F42" s="1">
        <v>2.343178401541981E8</v>
      </c>
      <c r="G42" s="1">
        <v>9.760108882381068E7</v>
      </c>
      <c r="H42" s="1">
        <v>15.0</v>
      </c>
      <c r="I42" s="1">
        <v>7.0</v>
      </c>
      <c r="J42" s="1">
        <v>4.0</v>
      </c>
      <c r="K42" s="1">
        <v>3.0</v>
      </c>
      <c r="L42" s="1">
        <v>8.0</v>
      </c>
      <c r="M42" s="1">
        <v>4.0</v>
      </c>
      <c r="N42" s="1">
        <v>4.0</v>
      </c>
    </row>
    <row r="43" ht="16.5" customHeight="1">
      <c r="A43" s="2" t="s">
        <v>96</v>
      </c>
      <c r="B43" s="1" t="s">
        <v>97</v>
      </c>
      <c r="C43" s="1">
        <v>4.5477134107419926E8</v>
      </c>
      <c r="D43" s="1">
        <v>1.547036226370749E8</v>
      </c>
      <c r="E43" s="1">
        <v>8.173695212733002E7</v>
      </c>
      <c r="F43" s="1">
        <v>1.453722669552912E8</v>
      </c>
      <c r="G43" s="1">
        <v>7.295849935450315E7</v>
      </c>
      <c r="H43" s="1">
        <v>417.0</v>
      </c>
      <c r="I43" s="1">
        <v>221.0</v>
      </c>
      <c r="J43" s="1">
        <v>176.0</v>
      </c>
      <c r="K43" s="1">
        <v>45.0</v>
      </c>
      <c r="L43" s="1">
        <v>196.0</v>
      </c>
      <c r="M43" s="1">
        <v>102.0</v>
      </c>
      <c r="N43" s="1">
        <v>94.0</v>
      </c>
    </row>
    <row r="44" ht="16.5" customHeight="1">
      <c r="A44" s="2" t="s">
        <v>98</v>
      </c>
      <c r="B44" s="1" t="s">
        <v>99</v>
      </c>
      <c r="C44" s="1">
        <v>4.54832550090393E8</v>
      </c>
      <c r="D44" s="1">
        <v>1.557505743919204E8</v>
      </c>
      <c r="E44" s="1">
        <v>8.20225395171845E7</v>
      </c>
      <c r="F44" s="1">
        <v>1.023973209936575E8</v>
      </c>
      <c r="G44" s="1">
        <v>1.146621151876306E8</v>
      </c>
      <c r="H44" s="1">
        <v>52.0</v>
      </c>
      <c r="I44" s="1">
        <v>27.0</v>
      </c>
      <c r="J44" s="1">
        <v>12.0</v>
      </c>
      <c r="K44" s="1">
        <v>15.0</v>
      </c>
      <c r="L44" s="1">
        <v>25.0</v>
      </c>
      <c r="M44" s="1">
        <v>9.0</v>
      </c>
      <c r="N44" s="1">
        <v>16.0</v>
      </c>
    </row>
    <row r="45" ht="16.5" customHeight="1">
      <c r="A45" s="2" t="s">
        <v>100</v>
      </c>
      <c r="B45" s="1" t="s">
        <v>101</v>
      </c>
      <c r="C45" s="1">
        <v>2.8036212565598965E8</v>
      </c>
      <c r="D45" s="1">
        <v>4.546938512595111E7</v>
      </c>
      <c r="E45" s="1">
        <v>8.617857847665878E7</v>
      </c>
      <c r="F45" s="1">
        <v>5.591231960770509E7</v>
      </c>
      <c r="G45" s="1">
        <v>9.280184244567463E7</v>
      </c>
      <c r="H45" s="1">
        <v>113.0</v>
      </c>
      <c r="I45" s="1">
        <v>59.0</v>
      </c>
      <c r="J45" s="1">
        <v>52.0</v>
      </c>
      <c r="K45" s="1">
        <v>7.0</v>
      </c>
      <c r="L45" s="1">
        <v>54.0</v>
      </c>
      <c r="M45" s="1">
        <v>24.0</v>
      </c>
      <c r="N45" s="1">
        <v>30.0</v>
      </c>
    </row>
    <row r="46" ht="16.5" customHeight="1">
      <c r="A46" s="2" t="s">
        <v>102</v>
      </c>
      <c r="B46" s="1" t="s">
        <v>103</v>
      </c>
      <c r="C46" s="1">
        <v>6.597518895947968E8</v>
      </c>
      <c r="D46" s="1">
        <v>2.049049642996702E8</v>
      </c>
      <c r="E46" s="1">
        <v>2.050710774226556E8</v>
      </c>
      <c r="F46" s="1">
        <v>7.739701532703093E7</v>
      </c>
      <c r="G46" s="1">
        <v>1.723788325454401E8</v>
      </c>
      <c r="H46" s="1">
        <v>59.0</v>
      </c>
      <c r="I46" s="1">
        <v>31.0</v>
      </c>
      <c r="J46" s="1">
        <v>22.0</v>
      </c>
      <c r="K46" s="1">
        <v>9.0</v>
      </c>
      <c r="L46" s="1">
        <v>28.0</v>
      </c>
      <c r="M46" s="1">
        <v>23.0</v>
      </c>
      <c r="N46" s="1">
        <v>5.0</v>
      </c>
    </row>
    <row r="47" ht="16.5" customHeight="1">
      <c r="A47" s="2" t="s">
        <v>104</v>
      </c>
      <c r="B47" s="1" t="s">
        <v>105</v>
      </c>
      <c r="C47" s="1">
        <v>2.538611127171092E8</v>
      </c>
      <c r="D47" s="1">
        <v>6.116086803258251E7</v>
      </c>
      <c r="E47" s="1">
        <v>6.581513935894721E7</v>
      </c>
      <c r="F47" s="1">
        <v>5.104603313423721E7</v>
      </c>
      <c r="G47" s="1">
        <v>7.583907219134231E7</v>
      </c>
      <c r="H47" s="1">
        <v>367.0</v>
      </c>
      <c r="I47" s="1">
        <v>194.0</v>
      </c>
      <c r="J47" s="1">
        <v>89.0</v>
      </c>
      <c r="K47" s="1">
        <v>105.0</v>
      </c>
      <c r="L47" s="1">
        <v>173.0</v>
      </c>
      <c r="M47" s="1">
        <v>148.0</v>
      </c>
      <c r="N47" s="1">
        <v>25.0</v>
      </c>
    </row>
    <row r="48" ht="16.5" customHeight="1">
      <c r="A48" s="2" t="s">
        <v>106</v>
      </c>
      <c r="B48" s="1" t="s">
        <v>107</v>
      </c>
      <c r="C48" s="1">
        <v>6.069163593795521E8</v>
      </c>
      <c r="D48" s="1">
        <v>1.356342132208923E8</v>
      </c>
      <c r="E48" s="1">
        <v>1.519258762621971E8</v>
      </c>
      <c r="F48" s="1">
        <v>2.036884738402204E8</v>
      </c>
      <c r="G48" s="1">
        <v>1.156677960562423E8</v>
      </c>
      <c r="H48" s="1">
        <v>368.0</v>
      </c>
      <c r="I48" s="1">
        <v>195.0</v>
      </c>
      <c r="J48" s="1">
        <v>103.0</v>
      </c>
      <c r="K48" s="1">
        <v>92.0</v>
      </c>
      <c r="L48" s="1">
        <v>173.0</v>
      </c>
      <c r="M48" s="1">
        <v>151.0</v>
      </c>
      <c r="N48" s="1">
        <v>22.0</v>
      </c>
    </row>
    <row r="49" ht="16.5" customHeight="1">
      <c r="A49" s="2" t="s">
        <v>108</v>
      </c>
      <c r="B49" s="1" t="s">
        <v>109</v>
      </c>
      <c r="C49" s="1">
        <v>1.1419649615510798E8</v>
      </c>
      <c r="D49" s="1">
        <v>1.437863401973142E7</v>
      </c>
      <c r="E49" s="1">
        <v>3.804912213385597E7</v>
      </c>
      <c r="F49" s="1">
        <v>3.830505733348846E7</v>
      </c>
      <c r="G49" s="1">
        <v>2.346368266803214E7</v>
      </c>
      <c r="H49" s="1">
        <v>85.0</v>
      </c>
      <c r="I49" s="1">
        <v>45.0</v>
      </c>
      <c r="J49" s="1">
        <v>17.0</v>
      </c>
      <c r="K49" s="1">
        <v>28.0</v>
      </c>
      <c r="L49" s="1">
        <v>40.0</v>
      </c>
      <c r="M49" s="1">
        <v>21.0</v>
      </c>
      <c r="N49" s="1">
        <v>19.0</v>
      </c>
    </row>
    <row r="50" ht="16.5" customHeight="1">
      <c r="A50" s="2" t="s">
        <v>110</v>
      </c>
      <c r="B50" s="1" t="s">
        <v>111</v>
      </c>
      <c r="C50" s="1">
        <v>1.5085618518715093E8</v>
      </c>
      <c r="D50" s="1">
        <v>1.96733140384267E7</v>
      </c>
      <c r="E50" s="1">
        <v>4.641541614559993E7</v>
      </c>
      <c r="F50" s="1">
        <v>5.506048607566322E7</v>
      </c>
      <c r="G50" s="1">
        <v>2.97069689274611E7</v>
      </c>
      <c r="H50" s="1">
        <v>383.0</v>
      </c>
      <c r="I50" s="1">
        <v>203.0</v>
      </c>
      <c r="J50" s="1">
        <v>197.0</v>
      </c>
      <c r="K50" s="1">
        <v>6.0</v>
      </c>
      <c r="L50" s="1">
        <v>180.0</v>
      </c>
      <c r="M50" s="1">
        <v>109.0</v>
      </c>
      <c r="N50" s="1">
        <v>71.0</v>
      </c>
    </row>
    <row r="51" ht="16.5" customHeight="1">
      <c r="A51" s="2" t="s">
        <v>112</v>
      </c>
      <c r="B51" s="1" t="s">
        <v>113</v>
      </c>
      <c r="C51" s="1">
        <v>5.065305020481337E8</v>
      </c>
      <c r="D51" s="1">
        <v>1.584044868226694E8</v>
      </c>
      <c r="E51" s="1">
        <v>1.069060822709105E8</v>
      </c>
      <c r="F51" s="1">
        <v>9.613054619325757E7</v>
      </c>
      <c r="G51" s="1">
        <v>1.450893867612962E8</v>
      </c>
      <c r="H51" s="1">
        <v>450.0</v>
      </c>
      <c r="I51" s="1">
        <v>238.0</v>
      </c>
      <c r="J51" s="1">
        <v>234.0</v>
      </c>
      <c r="K51" s="1">
        <v>4.0</v>
      </c>
      <c r="L51" s="1">
        <v>212.0</v>
      </c>
      <c r="M51" s="1">
        <v>196.0</v>
      </c>
      <c r="N51" s="1">
        <v>16.0</v>
      </c>
    </row>
    <row r="52" ht="16.5" customHeight="1">
      <c r="A52" s="2" t="s">
        <v>114</v>
      </c>
      <c r="B52" s="1" t="s">
        <v>115</v>
      </c>
      <c r="C52" s="1">
        <v>6.541967245281467E8</v>
      </c>
      <c r="D52" s="1">
        <v>1.926268008252791E8</v>
      </c>
      <c r="E52" s="1">
        <v>1.234428762858965E8</v>
      </c>
      <c r="F52" s="1">
        <v>2.309997729616955E8</v>
      </c>
      <c r="G52" s="1">
        <v>1.071272744552757E8</v>
      </c>
      <c r="H52" s="1">
        <v>437.0</v>
      </c>
      <c r="I52" s="1">
        <v>231.0</v>
      </c>
      <c r="J52" s="1">
        <v>205.0</v>
      </c>
      <c r="K52" s="1">
        <v>26.0</v>
      </c>
      <c r="L52" s="1">
        <v>206.0</v>
      </c>
      <c r="M52" s="1">
        <v>183.0</v>
      </c>
      <c r="N52" s="1">
        <v>23.0</v>
      </c>
    </row>
    <row r="53" ht="16.5" customHeight="1">
      <c r="A53" s="2" t="s">
        <v>116</v>
      </c>
      <c r="B53" s="1" t="s">
        <v>117</v>
      </c>
      <c r="C53" s="1">
        <v>1.5287219402326354E8</v>
      </c>
      <c r="D53" s="1">
        <v>3.917112141421162E7</v>
      </c>
      <c r="E53" s="1">
        <v>3.495826619018319E7</v>
      </c>
      <c r="F53" s="1">
        <v>3.399114890905146E7</v>
      </c>
      <c r="G53" s="1">
        <v>4.475165750981725E7</v>
      </c>
      <c r="H53" s="1">
        <v>162.0</v>
      </c>
      <c r="I53" s="1">
        <v>85.0</v>
      </c>
      <c r="J53" s="1">
        <v>84.0</v>
      </c>
      <c r="K53" s="1">
        <v>1.0</v>
      </c>
      <c r="L53" s="1">
        <v>77.0</v>
      </c>
      <c r="M53" s="1">
        <v>33.0</v>
      </c>
      <c r="N53" s="1">
        <v>44.0</v>
      </c>
    </row>
    <row r="54" ht="16.5" customHeight="1">
      <c r="A54" s="2" t="s">
        <v>118</v>
      </c>
      <c r="B54" s="1" t="s">
        <v>119</v>
      </c>
      <c r="C54" s="1">
        <v>7.45219439285491E8</v>
      </c>
      <c r="D54" s="1">
        <v>1.973555606604684E8</v>
      </c>
      <c r="E54" s="1">
        <v>1.251226692347842E8</v>
      </c>
      <c r="F54" s="1">
        <v>1.933991233721926E8</v>
      </c>
      <c r="G54" s="1">
        <v>2.293420860180458E8</v>
      </c>
      <c r="H54" s="1">
        <v>347.0</v>
      </c>
      <c r="I54" s="1">
        <v>184.0</v>
      </c>
      <c r="J54" s="1">
        <v>139.0</v>
      </c>
      <c r="K54" s="1">
        <v>45.0</v>
      </c>
      <c r="L54" s="1">
        <v>163.0</v>
      </c>
      <c r="M54" s="1">
        <v>102.0</v>
      </c>
      <c r="N54" s="1">
        <v>61.0</v>
      </c>
    </row>
    <row r="55" ht="16.5" customHeight="1">
      <c r="A55" s="2" t="s">
        <v>120</v>
      </c>
      <c r="B55" s="1" t="s">
        <v>121</v>
      </c>
      <c r="C55" s="1">
        <v>1.771815658051811E8</v>
      </c>
      <c r="D55" s="1">
        <v>4.23364102057804E7</v>
      </c>
      <c r="E55" s="1">
        <v>5.066282935593937E7</v>
      </c>
      <c r="F55" s="1">
        <v>2.769958460229788E7</v>
      </c>
      <c r="G55" s="1">
        <v>5.648274164116342E7</v>
      </c>
      <c r="H55" s="1">
        <v>31.0</v>
      </c>
      <c r="I55" s="1">
        <v>16.0</v>
      </c>
      <c r="J55" s="1">
        <v>11.0</v>
      </c>
      <c r="K55" s="1">
        <v>5.0</v>
      </c>
      <c r="L55" s="1">
        <v>15.0</v>
      </c>
      <c r="M55" s="1">
        <v>6.0</v>
      </c>
      <c r="N55" s="1">
        <v>9.0</v>
      </c>
    </row>
    <row r="56" ht="16.5" customHeight="1">
      <c r="A56" s="2" t="s">
        <v>122</v>
      </c>
      <c r="B56" s="1" t="s">
        <v>123</v>
      </c>
      <c r="C56" s="1">
        <v>8.824407412943227E8</v>
      </c>
      <c r="D56" s="1">
        <v>1.883271334331103E8</v>
      </c>
      <c r="E56" s="1">
        <v>2.831923189508168E8</v>
      </c>
      <c r="F56" s="1">
        <v>1.213750777402847E8</v>
      </c>
      <c r="G56" s="1">
        <v>2.89546211170111E8</v>
      </c>
      <c r="H56" s="1">
        <v>488.0</v>
      </c>
      <c r="I56" s="1">
        <v>258.0</v>
      </c>
      <c r="J56" s="1">
        <v>217.0</v>
      </c>
      <c r="K56" s="1">
        <v>41.0</v>
      </c>
      <c r="L56" s="1">
        <v>230.0</v>
      </c>
      <c r="M56" s="1">
        <v>229.0</v>
      </c>
      <c r="N56" s="1">
        <v>1.0</v>
      </c>
    </row>
    <row r="57" ht="16.5" customHeight="1">
      <c r="A57" s="2" t="s">
        <v>124</v>
      </c>
      <c r="B57" s="1" t="s">
        <v>125</v>
      </c>
      <c r="C57" s="1">
        <v>3.21225793339492E8</v>
      </c>
      <c r="D57" s="1">
        <v>8.667796725292458E7</v>
      </c>
      <c r="E57" s="1">
        <v>9.133212359877269E7</v>
      </c>
      <c r="F57" s="1">
        <v>5.86451582275203E7</v>
      </c>
      <c r="G57" s="1">
        <v>8.457054426027445E7</v>
      </c>
      <c r="H57" s="1">
        <v>156.0</v>
      </c>
      <c r="I57" s="1">
        <v>82.0</v>
      </c>
      <c r="J57" s="1">
        <v>61.0</v>
      </c>
      <c r="K57" s="1">
        <v>21.0</v>
      </c>
      <c r="L57" s="1">
        <v>74.0</v>
      </c>
      <c r="M57" s="1">
        <v>27.0</v>
      </c>
      <c r="N57" s="1">
        <v>47.0</v>
      </c>
    </row>
    <row r="58" ht="16.5" customHeight="1">
      <c r="A58" s="2" t="s">
        <v>126</v>
      </c>
      <c r="B58" s="1" t="s">
        <v>127</v>
      </c>
      <c r="C58" s="1">
        <v>5.394020339858602E8</v>
      </c>
      <c r="D58" s="1">
        <v>1.571300165625446E8</v>
      </c>
      <c r="E58" s="1">
        <v>1.667848157349687E8</v>
      </c>
      <c r="F58" s="1">
        <v>8.499788581781977E7</v>
      </c>
      <c r="G58" s="1">
        <v>1.304893158705272E8</v>
      </c>
      <c r="H58" s="1">
        <v>73.0</v>
      </c>
      <c r="I58" s="1">
        <v>38.0</v>
      </c>
      <c r="J58" s="1">
        <v>37.0</v>
      </c>
      <c r="K58" s="1">
        <v>1.0</v>
      </c>
      <c r="L58" s="1">
        <v>35.0</v>
      </c>
      <c r="M58" s="1">
        <v>19.0</v>
      </c>
      <c r="N58" s="1">
        <v>16.0</v>
      </c>
    </row>
    <row r="59" ht="16.5" customHeight="1">
      <c r="A59" s="2" t="s">
        <v>128</v>
      </c>
      <c r="B59" s="1" t="s">
        <v>129</v>
      </c>
      <c r="C59" s="1">
        <v>1.1730605106563234E8</v>
      </c>
      <c r="D59" s="1">
        <v>3.155193133544015E7</v>
      </c>
      <c r="E59" s="1">
        <v>2.401481958217883E7</v>
      </c>
      <c r="F59" s="1">
        <v>2.613998776557213E7</v>
      </c>
      <c r="G59" s="1">
        <v>3.559931238244122E7</v>
      </c>
      <c r="H59" s="1">
        <v>355.0</v>
      </c>
      <c r="I59" s="1">
        <v>188.0</v>
      </c>
      <c r="J59" s="1">
        <v>175.0</v>
      </c>
      <c r="K59" s="1">
        <v>13.0</v>
      </c>
      <c r="L59" s="1">
        <v>167.0</v>
      </c>
      <c r="M59" s="1">
        <v>140.0</v>
      </c>
      <c r="N59" s="1">
        <v>27.0</v>
      </c>
    </row>
    <row r="60" ht="16.5" customHeight="1">
      <c r="A60" s="2" t="s">
        <v>130</v>
      </c>
      <c r="B60" s="1" t="s">
        <v>131</v>
      </c>
      <c r="C60" s="1">
        <v>4.060295105102629E8</v>
      </c>
      <c r="D60" s="1">
        <v>9.776557312621436E7</v>
      </c>
      <c r="E60" s="1">
        <v>1.044596668765782E8</v>
      </c>
      <c r="F60" s="1">
        <v>8.701848531655702E7</v>
      </c>
      <c r="G60" s="1">
        <v>1.167857851909134E8</v>
      </c>
      <c r="H60" s="1">
        <v>39.0</v>
      </c>
      <c r="I60" s="1">
        <v>20.0</v>
      </c>
      <c r="J60" s="1">
        <v>15.0</v>
      </c>
      <c r="K60" s="1">
        <v>5.0</v>
      </c>
      <c r="L60" s="1">
        <v>19.0</v>
      </c>
      <c r="M60" s="1">
        <v>9.0</v>
      </c>
      <c r="N60" s="1">
        <v>10.0</v>
      </c>
    </row>
    <row r="61" ht="16.5" customHeight="1">
      <c r="A61" s="2" t="s">
        <v>132</v>
      </c>
      <c r="B61" s="1" t="s">
        <v>133</v>
      </c>
      <c r="C61" s="1">
        <v>4.87966759551794E8</v>
      </c>
      <c r="D61" s="1">
        <v>1.158290931352968E8</v>
      </c>
      <c r="E61" s="1">
        <v>1.207281761550257E8</v>
      </c>
      <c r="F61" s="1">
        <v>1.656247014390779E8</v>
      </c>
      <c r="G61" s="1">
        <v>8.57847888223936E7</v>
      </c>
      <c r="H61" s="1">
        <v>303.0</v>
      </c>
      <c r="I61" s="1">
        <v>160.0</v>
      </c>
      <c r="J61" s="1">
        <v>64.0</v>
      </c>
      <c r="K61" s="1">
        <v>96.0</v>
      </c>
      <c r="L61" s="1">
        <v>143.0</v>
      </c>
      <c r="M61" s="1">
        <v>85.0</v>
      </c>
      <c r="N61" s="1">
        <v>58.0</v>
      </c>
    </row>
    <row r="62" ht="16.5" customHeight="1">
      <c r="A62" s="2" t="s">
        <v>134</v>
      </c>
      <c r="B62" s="1" t="s">
        <v>135</v>
      </c>
      <c r="C62" s="1">
        <v>4.966370652515317E8</v>
      </c>
      <c r="D62" s="1">
        <v>8.692321730674827E7</v>
      </c>
      <c r="E62" s="1">
        <v>8.726728704837418E7</v>
      </c>
      <c r="F62" s="1">
        <v>1.923959844597887E8</v>
      </c>
      <c r="G62" s="1">
        <v>1.300505764366206E8</v>
      </c>
      <c r="H62" s="1">
        <v>443.0</v>
      </c>
      <c r="I62" s="1">
        <v>235.0</v>
      </c>
      <c r="J62" s="1">
        <v>84.0</v>
      </c>
      <c r="K62" s="1">
        <v>151.0</v>
      </c>
      <c r="L62" s="1">
        <v>208.0</v>
      </c>
      <c r="M62" s="1">
        <v>154.0</v>
      </c>
      <c r="N62" s="1">
        <v>54.0</v>
      </c>
    </row>
    <row r="63" ht="16.5" customHeight="1">
      <c r="A63" s="2" t="s">
        <v>136</v>
      </c>
      <c r="B63" s="1" t="s">
        <v>137</v>
      </c>
      <c r="C63" s="1">
        <v>3.8295412773315126E8</v>
      </c>
      <c r="D63" s="1">
        <v>8.526040336556181E7</v>
      </c>
      <c r="E63" s="1">
        <v>1.030845189165301E8</v>
      </c>
      <c r="F63" s="1">
        <v>6.190743606047167E7</v>
      </c>
      <c r="G63" s="1">
        <v>1.327017693905877E8</v>
      </c>
      <c r="H63" s="1">
        <v>178.0</v>
      </c>
      <c r="I63" s="1">
        <v>94.0</v>
      </c>
      <c r="J63" s="1">
        <v>92.0</v>
      </c>
      <c r="K63" s="1">
        <v>2.0</v>
      </c>
      <c r="L63" s="1">
        <v>84.0</v>
      </c>
      <c r="M63" s="1">
        <v>47.0</v>
      </c>
      <c r="N63" s="1">
        <v>37.0</v>
      </c>
    </row>
    <row r="64" ht="16.5" customHeight="1">
      <c r="A64" s="2" t="s">
        <v>138</v>
      </c>
      <c r="B64" s="1" t="s">
        <v>139</v>
      </c>
      <c r="C64" s="1">
        <v>5.089317760559454E8</v>
      </c>
      <c r="D64" s="1">
        <v>7.00236306040951E7</v>
      </c>
      <c r="E64" s="1">
        <v>1.480815420030684E8</v>
      </c>
      <c r="F64" s="1">
        <v>1.443608944360117E8</v>
      </c>
      <c r="G64" s="1">
        <v>1.464657090127702E8</v>
      </c>
      <c r="H64" s="1">
        <v>372.0</v>
      </c>
      <c r="I64" s="1">
        <v>197.0</v>
      </c>
      <c r="J64" s="1">
        <v>153.0</v>
      </c>
      <c r="K64" s="1">
        <v>44.0</v>
      </c>
      <c r="L64" s="1">
        <v>175.0</v>
      </c>
      <c r="M64" s="1">
        <v>155.0</v>
      </c>
      <c r="N64" s="1">
        <v>20.0</v>
      </c>
    </row>
    <row r="65" ht="16.5" customHeight="1">
      <c r="A65" s="2" t="s">
        <v>140</v>
      </c>
      <c r="B65" s="1" t="s">
        <v>141</v>
      </c>
      <c r="C65" s="1">
        <v>4.121948968540839E8</v>
      </c>
      <c r="D65" s="1">
        <v>1.128162398016553E8</v>
      </c>
      <c r="E65" s="1">
        <v>1.479769732498094E8</v>
      </c>
      <c r="F65" s="1">
        <v>7.504342159863925E7</v>
      </c>
      <c r="G65" s="1">
        <v>7.635826220397994E7</v>
      </c>
      <c r="H65" s="1">
        <v>233.0</v>
      </c>
      <c r="I65" s="1">
        <v>123.0</v>
      </c>
      <c r="J65" s="1">
        <v>75.0</v>
      </c>
      <c r="K65" s="1">
        <v>48.0</v>
      </c>
      <c r="L65" s="1">
        <v>110.0</v>
      </c>
      <c r="M65" s="1">
        <v>60.0</v>
      </c>
      <c r="N65" s="1">
        <v>50.0</v>
      </c>
    </row>
    <row r="66" ht="16.5" customHeight="1">
      <c r="A66" s="2" t="s">
        <v>142</v>
      </c>
      <c r="B66" s="1" t="s">
        <v>143</v>
      </c>
      <c r="C66" s="1">
        <v>9.123596052100687E8</v>
      </c>
      <c r="D66" s="1">
        <v>2.071829143638543E8</v>
      </c>
      <c r="E66" s="1">
        <v>1.503325705198893E8</v>
      </c>
      <c r="F66" s="1">
        <v>2.792743887906367E8</v>
      </c>
      <c r="G66" s="1">
        <v>2.755697315356884E8</v>
      </c>
      <c r="H66" s="1">
        <v>113.0</v>
      </c>
      <c r="I66" s="1">
        <v>59.0</v>
      </c>
      <c r="J66" s="1">
        <v>50.0</v>
      </c>
      <c r="K66" s="1">
        <v>9.0</v>
      </c>
      <c r="L66" s="1">
        <v>54.0</v>
      </c>
      <c r="M66" s="1">
        <v>27.0</v>
      </c>
      <c r="N66" s="1">
        <v>27.0</v>
      </c>
    </row>
    <row r="67" ht="16.5" customHeight="1">
      <c r="A67" s="2" t="s">
        <v>144</v>
      </c>
      <c r="B67" s="1" t="s">
        <v>145</v>
      </c>
      <c r="C67" s="1">
        <v>6.756257831238635E8</v>
      </c>
      <c r="D67" s="1">
        <v>1.310819069465682E8</v>
      </c>
      <c r="E67" s="1">
        <v>2.249218203371563E8</v>
      </c>
      <c r="F67" s="1">
        <v>1.940053941861021E8</v>
      </c>
      <c r="G67" s="1">
        <v>1.256166616540369E8</v>
      </c>
      <c r="H67" s="1">
        <v>277.0</v>
      </c>
      <c r="I67" s="1">
        <v>146.0</v>
      </c>
      <c r="J67" s="1">
        <v>98.0</v>
      </c>
      <c r="K67" s="1">
        <v>48.0</v>
      </c>
      <c r="L67" s="1">
        <v>131.0</v>
      </c>
      <c r="M67" s="1">
        <v>109.0</v>
      </c>
      <c r="N67" s="1">
        <v>22.0</v>
      </c>
    </row>
    <row r="68" ht="16.5" customHeight="1">
      <c r="A68" s="2" t="s">
        <v>146</v>
      </c>
      <c r="B68" s="1" t="s">
        <v>147</v>
      </c>
      <c r="C68" s="1">
        <v>6.58517895236848E8</v>
      </c>
      <c r="D68" s="1">
        <v>2.160397052051775E8</v>
      </c>
      <c r="E68" s="1">
        <v>1.89225557232016E8</v>
      </c>
      <c r="F68" s="1">
        <v>1.28856631321674E8</v>
      </c>
      <c r="G68" s="1">
        <v>1.243960014779805E8</v>
      </c>
      <c r="H68" s="1">
        <v>322.0</v>
      </c>
      <c r="I68" s="1">
        <v>170.0</v>
      </c>
      <c r="J68" s="1">
        <v>161.0</v>
      </c>
      <c r="K68" s="1">
        <v>9.0</v>
      </c>
      <c r="L68" s="1">
        <v>152.0</v>
      </c>
      <c r="M68" s="1">
        <v>152.0</v>
      </c>
      <c r="N68" s="1">
        <v>0.0</v>
      </c>
    </row>
    <row r="69" ht="16.5" customHeight="1">
      <c r="A69" s="2" t="s">
        <v>148</v>
      </c>
      <c r="B69" s="1" t="s">
        <v>149</v>
      </c>
      <c r="C69" s="1">
        <v>8.476162985534984E8</v>
      </c>
      <c r="D69" s="1">
        <v>2.25899645958364E8</v>
      </c>
      <c r="E69" s="1">
        <v>2.770772917939158E8</v>
      </c>
      <c r="F69" s="1">
        <v>1.898593198111443E8</v>
      </c>
      <c r="G69" s="1">
        <v>1.547800409900743E8</v>
      </c>
      <c r="H69" s="1">
        <v>457.0</v>
      </c>
      <c r="I69" s="1">
        <v>242.0</v>
      </c>
      <c r="J69" s="1">
        <v>130.0</v>
      </c>
      <c r="K69" s="1">
        <v>112.0</v>
      </c>
      <c r="L69" s="1">
        <v>215.0</v>
      </c>
      <c r="M69" s="1">
        <v>162.0</v>
      </c>
      <c r="N69" s="1">
        <v>53.0</v>
      </c>
    </row>
    <row r="70" ht="16.5" customHeight="1">
      <c r="A70" s="2" t="s">
        <v>150</v>
      </c>
      <c r="B70" s="1" t="s">
        <v>151</v>
      </c>
      <c r="C70" s="1">
        <v>5.056957889321304E8</v>
      </c>
      <c r="D70" s="1">
        <v>7.353770801951918E7</v>
      </c>
      <c r="E70" s="1">
        <v>1.20884813233816E8</v>
      </c>
      <c r="F70" s="1">
        <v>1.419103621381357E8</v>
      </c>
      <c r="G70" s="1">
        <v>1.693629055406595E8</v>
      </c>
      <c r="H70" s="1">
        <v>152.0</v>
      </c>
      <c r="I70" s="1">
        <v>80.0</v>
      </c>
      <c r="J70" s="1">
        <v>33.0</v>
      </c>
      <c r="K70" s="1">
        <v>47.0</v>
      </c>
      <c r="L70" s="1">
        <v>72.0</v>
      </c>
      <c r="M70" s="1">
        <v>50.0</v>
      </c>
      <c r="N70" s="1">
        <v>22.0</v>
      </c>
    </row>
    <row r="71" ht="16.5" customHeight="1">
      <c r="A71" s="2" t="s">
        <v>152</v>
      </c>
      <c r="B71" s="1" t="s">
        <v>153</v>
      </c>
      <c r="C71" s="1">
        <v>4.967200649117384E8</v>
      </c>
      <c r="D71" s="1">
        <v>7.824165730113786E7</v>
      </c>
      <c r="E71" s="1">
        <v>1.246945689135207E8</v>
      </c>
      <c r="F71" s="1">
        <v>1.569191773941915E8</v>
      </c>
      <c r="G71" s="1">
        <v>1.368646613028883E8</v>
      </c>
      <c r="H71" s="1">
        <v>298.0</v>
      </c>
      <c r="I71" s="1">
        <v>158.0</v>
      </c>
      <c r="J71" s="1">
        <v>96.0</v>
      </c>
      <c r="K71" s="1">
        <v>62.0</v>
      </c>
      <c r="L71" s="1">
        <v>140.0</v>
      </c>
      <c r="M71" s="1">
        <v>113.0</v>
      </c>
      <c r="N71" s="1">
        <v>27.0</v>
      </c>
    </row>
    <row r="72" ht="16.5" customHeight="1">
      <c r="A72" s="2" t="s">
        <v>154</v>
      </c>
      <c r="B72" s="1" t="s">
        <v>155</v>
      </c>
      <c r="C72" s="1">
        <v>4.6786063831456435E8</v>
      </c>
      <c r="D72" s="1">
        <v>1.019704695361928E8</v>
      </c>
      <c r="E72" s="1">
        <v>9.957402358318187E7</v>
      </c>
      <c r="F72" s="1">
        <v>1.316748105200449E8</v>
      </c>
      <c r="G72" s="1">
        <v>1.346413346751448E8</v>
      </c>
      <c r="H72" s="1">
        <v>203.0</v>
      </c>
      <c r="I72" s="1">
        <v>107.0</v>
      </c>
      <c r="J72" s="1">
        <v>50.0</v>
      </c>
      <c r="K72" s="1">
        <v>57.0</v>
      </c>
      <c r="L72" s="1">
        <v>96.0</v>
      </c>
      <c r="M72" s="1">
        <v>59.0</v>
      </c>
      <c r="N72" s="1">
        <v>37.0</v>
      </c>
    </row>
    <row r="73" ht="16.5" customHeight="1">
      <c r="A73" s="2" t="s">
        <v>156</v>
      </c>
      <c r="B73" s="1" t="s">
        <v>157</v>
      </c>
      <c r="C73" s="1">
        <v>4.078608266410924E8</v>
      </c>
      <c r="D73" s="1">
        <v>1.153121562057616E8</v>
      </c>
      <c r="E73" s="1">
        <v>9.113520824936825E7</v>
      </c>
      <c r="F73" s="1">
        <v>9.564160733750844E7</v>
      </c>
      <c r="G73" s="1">
        <v>1.057718548484541E8</v>
      </c>
      <c r="H73" s="1">
        <v>131.0</v>
      </c>
      <c r="I73" s="1">
        <v>69.0</v>
      </c>
      <c r="J73" s="1">
        <v>69.0</v>
      </c>
      <c r="K73" s="1">
        <v>0.0</v>
      </c>
      <c r="L73" s="1">
        <v>62.0</v>
      </c>
      <c r="M73" s="1">
        <v>51.0</v>
      </c>
      <c r="N73" s="1">
        <v>11.0</v>
      </c>
    </row>
    <row r="74" ht="16.5" customHeight="1">
      <c r="A74" s="2" t="s">
        <v>158</v>
      </c>
      <c r="B74" s="1" t="s">
        <v>159</v>
      </c>
      <c r="C74" s="1">
        <v>7.531286400551791E8</v>
      </c>
      <c r="D74" s="1">
        <v>1.609874896196587E8</v>
      </c>
      <c r="E74" s="1">
        <v>2.114801178441564E8</v>
      </c>
      <c r="F74" s="1">
        <v>2.715666814147761E8</v>
      </c>
      <c r="G74" s="1">
        <v>1.090943511765879E8</v>
      </c>
      <c r="H74" s="1">
        <v>383.0</v>
      </c>
      <c r="I74" s="1">
        <v>203.0</v>
      </c>
      <c r="J74" s="1">
        <v>129.0</v>
      </c>
      <c r="K74" s="1">
        <v>74.0</v>
      </c>
      <c r="L74" s="1">
        <v>180.0</v>
      </c>
      <c r="M74" s="1">
        <v>175.0</v>
      </c>
      <c r="N74" s="1">
        <v>5.0</v>
      </c>
    </row>
    <row r="75" ht="16.5" customHeight="1">
      <c r="A75" s="2" t="s">
        <v>160</v>
      </c>
      <c r="B75" s="1" t="s">
        <v>161</v>
      </c>
      <c r="C75" s="1">
        <v>4.05738645837147E8</v>
      </c>
      <c r="D75" s="1">
        <v>6.193146444206092E7</v>
      </c>
      <c r="E75" s="1">
        <v>1.296678415485389E8</v>
      </c>
      <c r="F75" s="1">
        <v>1.232591599729794E8</v>
      </c>
      <c r="G75" s="1">
        <v>9.088017987356779E7</v>
      </c>
      <c r="H75" s="1">
        <v>331.0</v>
      </c>
      <c r="I75" s="1">
        <v>175.0</v>
      </c>
      <c r="J75" s="1">
        <v>162.0</v>
      </c>
      <c r="K75" s="1">
        <v>13.0</v>
      </c>
      <c r="L75" s="1">
        <v>156.0</v>
      </c>
      <c r="M75" s="1">
        <v>149.0</v>
      </c>
      <c r="N75" s="1">
        <v>7.0</v>
      </c>
    </row>
    <row r="76" ht="16.5" customHeight="1">
      <c r="A76" s="2" t="s">
        <v>162</v>
      </c>
      <c r="B76" s="1" t="s">
        <v>163</v>
      </c>
      <c r="C76" s="1">
        <v>3.261209943978484E8</v>
      </c>
      <c r="D76" s="1">
        <v>7.906651615448762E7</v>
      </c>
      <c r="E76" s="1">
        <v>5.337188782289484E7</v>
      </c>
      <c r="F76" s="1">
        <v>9.87254319416779E7</v>
      </c>
      <c r="G76" s="1">
        <v>9.495715847878808E7</v>
      </c>
      <c r="H76" s="1">
        <v>46.0</v>
      </c>
      <c r="I76" s="1">
        <v>24.0</v>
      </c>
      <c r="J76" s="1">
        <v>11.0</v>
      </c>
      <c r="K76" s="1">
        <v>13.0</v>
      </c>
      <c r="L76" s="1">
        <v>22.0</v>
      </c>
      <c r="M76" s="1">
        <v>11.0</v>
      </c>
      <c r="N76" s="1">
        <v>11.0</v>
      </c>
    </row>
    <row r="77" ht="16.5" customHeight="1">
      <c r="A77" s="2" t="s">
        <v>164</v>
      </c>
      <c r="B77" s="1" t="s">
        <v>165</v>
      </c>
      <c r="C77" s="1">
        <v>6.833969397762372E8</v>
      </c>
      <c r="D77" s="1">
        <v>1.982486784135568E8</v>
      </c>
      <c r="E77" s="1">
        <v>2.389962539999419E8</v>
      </c>
      <c r="F77" s="1">
        <v>1.195626589142855E8</v>
      </c>
      <c r="G77" s="1">
        <v>1.265893484484531E8</v>
      </c>
      <c r="H77" s="1">
        <v>260.0</v>
      </c>
      <c r="I77" s="1">
        <v>137.0</v>
      </c>
      <c r="J77" s="1">
        <v>74.0</v>
      </c>
      <c r="K77" s="1">
        <v>63.0</v>
      </c>
      <c r="L77" s="1">
        <v>123.0</v>
      </c>
      <c r="M77" s="1">
        <v>59.0</v>
      </c>
      <c r="N77" s="1">
        <v>64.0</v>
      </c>
    </row>
    <row r="78" ht="16.5" customHeight="1">
      <c r="A78" s="2" t="s">
        <v>166</v>
      </c>
      <c r="B78" s="1" t="s">
        <v>167</v>
      </c>
      <c r="C78" s="1">
        <v>5.1459780507139665E8</v>
      </c>
      <c r="D78" s="1">
        <v>9.959956845153216E7</v>
      </c>
      <c r="E78" s="1">
        <v>1.881050201762462E8</v>
      </c>
      <c r="F78" s="1">
        <v>9.527663686906883E7</v>
      </c>
      <c r="G78" s="1">
        <v>1.316165795745495E8</v>
      </c>
      <c r="H78" s="1">
        <v>35.0</v>
      </c>
      <c r="I78" s="1">
        <v>18.0</v>
      </c>
      <c r="J78" s="1">
        <v>18.0</v>
      </c>
      <c r="K78" s="1">
        <v>0.0</v>
      </c>
      <c r="L78" s="1">
        <v>17.0</v>
      </c>
      <c r="M78" s="1">
        <v>12.0</v>
      </c>
      <c r="N78" s="1">
        <v>5.0</v>
      </c>
    </row>
    <row r="79" ht="16.5" customHeight="1">
      <c r="A79" s="2" t="s">
        <v>168</v>
      </c>
      <c r="B79" s="1" t="s">
        <v>169</v>
      </c>
      <c r="C79" s="1">
        <v>6.149867293798381E8</v>
      </c>
      <c r="D79" s="1">
        <v>1.402805866632625E8</v>
      </c>
      <c r="E79" s="1">
        <v>1.229355698096723E8</v>
      </c>
      <c r="F79" s="1">
        <v>1.416444631711296E8</v>
      </c>
      <c r="G79" s="1">
        <v>2.101261097357737E8</v>
      </c>
      <c r="H79" s="1">
        <v>470.0</v>
      </c>
      <c r="I79" s="1">
        <v>249.0</v>
      </c>
      <c r="J79" s="1">
        <v>167.0</v>
      </c>
      <c r="K79" s="1">
        <v>82.0</v>
      </c>
      <c r="L79" s="1">
        <v>221.0</v>
      </c>
      <c r="M79" s="1">
        <v>192.0</v>
      </c>
      <c r="N79" s="1">
        <v>29.0</v>
      </c>
    </row>
    <row r="80" ht="16.5" customHeight="1">
      <c r="A80" s="2" t="s">
        <v>173</v>
      </c>
      <c r="B80" s="1" t="s">
        <v>174</v>
      </c>
      <c r="C80" s="1">
        <v>7.206730113762361E8</v>
      </c>
      <c r="D80" s="1">
        <v>2.047178226970337E8</v>
      </c>
      <c r="E80" s="1">
        <v>1.909009950171629E8</v>
      </c>
      <c r="F80" s="1">
        <v>1.255580391009884E8</v>
      </c>
      <c r="G80" s="1">
        <v>1.994961545610511E8</v>
      </c>
      <c r="H80" s="1">
        <v>82.0</v>
      </c>
      <c r="I80" s="1">
        <v>43.0</v>
      </c>
      <c r="J80" s="1">
        <v>39.0</v>
      </c>
      <c r="K80" s="1">
        <v>4.0</v>
      </c>
      <c r="L80" s="1">
        <v>39.0</v>
      </c>
      <c r="M80" s="1">
        <v>33.0</v>
      </c>
      <c r="N80" s="1">
        <v>6.0</v>
      </c>
    </row>
    <row r="81" ht="16.5" customHeight="1">
      <c r="A81" s="2" t="s">
        <v>177</v>
      </c>
      <c r="B81" s="1" t="s">
        <v>178</v>
      </c>
      <c r="C81" s="1">
        <v>3.938317730221318E8</v>
      </c>
      <c r="D81" s="1">
        <v>1.313409281886643E8</v>
      </c>
      <c r="E81" s="1">
        <v>9.481018047124007E7</v>
      </c>
      <c r="F81" s="1">
        <v>6.466508555938424E7</v>
      </c>
      <c r="G81" s="1">
        <v>1.030155788028432E8</v>
      </c>
      <c r="H81" s="1">
        <v>60.0</v>
      </c>
      <c r="I81" s="1">
        <v>31.0</v>
      </c>
      <c r="J81" s="1">
        <v>15.0</v>
      </c>
      <c r="K81" s="1">
        <v>16.0</v>
      </c>
      <c r="L81" s="1">
        <v>29.0</v>
      </c>
      <c r="M81" s="1">
        <v>28.0</v>
      </c>
      <c r="N81" s="1">
        <v>1.0</v>
      </c>
    </row>
    <row r="82" ht="16.5" customHeight="1">
      <c r="A82" s="2" t="s">
        <v>179</v>
      </c>
      <c r="B82" s="1" t="s">
        <v>180</v>
      </c>
      <c r="C82" s="1">
        <v>5.740753048095286E8</v>
      </c>
      <c r="D82" s="1">
        <v>1.770913780606947E8</v>
      </c>
      <c r="E82" s="1">
        <v>1.604892365210603E8</v>
      </c>
      <c r="F82" s="1">
        <v>1.496370341909911E8</v>
      </c>
      <c r="G82" s="1">
        <v>8.685765603678246E7</v>
      </c>
      <c r="H82" s="1">
        <v>22.0</v>
      </c>
      <c r="I82" s="1">
        <v>11.0</v>
      </c>
      <c r="J82" s="1">
        <v>9.0</v>
      </c>
      <c r="K82" s="1">
        <v>2.0</v>
      </c>
      <c r="L82" s="1">
        <v>11.0</v>
      </c>
      <c r="M82" s="1">
        <v>5.0</v>
      </c>
      <c r="N82" s="1">
        <v>6.0</v>
      </c>
    </row>
    <row r="83" ht="16.5" customHeight="1">
      <c r="A83" s="2" t="s">
        <v>181</v>
      </c>
      <c r="B83" s="1" t="s">
        <v>182</v>
      </c>
      <c r="C83" s="1">
        <v>8.820866177657771E7</v>
      </c>
      <c r="D83" s="1">
        <v>2.171363920580487E7</v>
      </c>
      <c r="E83" s="1">
        <v>2.233109825514345E7</v>
      </c>
      <c r="F83" s="1">
        <v>1.546699514660095E7</v>
      </c>
      <c r="G83" s="1">
        <v>2.869692916902845E7</v>
      </c>
      <c r="H83" s="1">
        <v>418.0</v>
      </c>
      <c r="I83" s="1">
        <v>221.0</v>
      </c>
      <c r="J83" s="1">
        <v>162.0</v>
      </c>
      <c r="K83" s="1">
        <v>59.0</v>
      </c>
      <c r="L83" s="1">
        <v>197.0</v>
      </c>
      <c r="M83" s="1">
        <v>157.0</v>
      </c>
      <c r="N83" s="1">
        <v>40.0</v>
      </c>
    </row>
    <row r="84" ht="16.5" customHeight="1">
      <c r="A84" s="2" t="s">
        <v>183</v>
      </c>
      <c r="B84" s="1" t="s">
        <v>184</v>
      </c>
      <c r="C84" s="1">
        <v>2.9015607454063904E8</v>
      </c>
      <c r="D84" s="1">
        <v>4.006396943576064E7</v>
      </c>
      <c r="E84" s="1">
        <v>9.576018555562054E7</v>
      </c>
      <c r="F84" s="1">
        <v>7.240950330193998E7</v>
      </c>
      <c r="G84" s="1">
        <v>8.192241624731791E7</v>
      </c>
      <c r="H84" s="1">
        <v>157.0</v>
      </c>
      <c r="I84" s="1">
        <v>83.0</v>
      </c>
      <c r="J84" s="1">
        <v>34.0</v>
      </c>
      <c r="K84" s="1">
        <v>49.0</v>
      </c>
      <c r="L84" s="1">
        <v>74.0</v>
      </c>
      <c r="M84" s="1">
        <v>66.0</v>
      </c>
      <c r="N84" s="1">
        <v>8.0</v>
      </c>
    </row>
    <row r="85" ht="16.5" customHeight="1">
      <c r="A85" s="2" t="s">
        <v>185</v>
      </c>
      <c r="B85" s="1" t="s">
        <v>186</v>
      </c>
      <c r="C85" s="1">
        <v>3.2141755936283463E8</v>
      </c>
      <c r="D85" s="1">
        <v>6.276870197329001E7</v>
      </c>
      <c r="E85" s="1">
        <v>8.463423839806244E7</v>
      </c>
      <c r="F85" s="1">
        <v>8.878300994611104E7</v>
      </c>
      <c r="G85" s="1">
        <v>8.523160904537117E7</v>
      </c>
      <c r="H85" s="1">
        <v>205.0</v>
      </c>
      <c r="I85" s="1">
        <v>108.0</v>
      </c>
      <c r="J85" s="1">
        <v>81.0</v>
      </c>
      <c r="K85" s="1">
        <v>27.0</v>
      </c>
      <c r="L85" s="1">
        <v>97.0</v>
      </c>
      <c r="M85" s="1">
        <v>38.0</v>
      </c>
      <c r="N85" s="1">
        <v>59.0</v>
      </c>
    </row>
    <row r="86" ht="16.5" customHeight="1">
      <c r="A86" s="2" t="s">
        <v>187</v>
      </c>
      <c r="B86" s="1" t="s">
        <v>188</v>
      </c>
      <c r="C86" s="1">
        <v>4.907521511036953E8</v>
      </c>
      <c r="D86" s="1">
        <v>6.825973941745114E7</v>
      </c>
      <c r="E86" s="1">
        <v>1.685479437582866E8</v>
      </c>
      <c r="F86" s="1">
        <v>1.672413663363207E8</v>
      </c>
      <c r="G86" s="1">
        <v>8.67031015916368E7</v>
      </c>
      <c r="H86" s="1">
        <v>404.0</v>
      </c>
      <c r="I86" s="1">
        <v>214.0</v>
      </c>
      <c r="J86" s="1">
        <v>92.0</v>
      </c>
      <c r="K86" s="1">
        <v>122.0</v>
      </c>
      <c r="L86" s="1">
        <v>190.0</v>
      </c>
      <c r="M86" s="1">
        <v>131.0</v>
      </c>
      <c r="N86" s="1">
        <v>59.0</v>
      </c>
    </row>
    <row r="87" ht="16.5" customHeight="1">
      <c r="A87" s="2" t="s">
        <v>189</v>
      </c>
      <c r="B87" s="1" t="s">
        <v>190</v>
      </c>
      <c r="C87" s="1">
        <v>3.7238401112398505E8</v>
      </c>
      <c r="D87" s="1">
        <v>8.591257897491995E7</v>
      </c>
      <c r="E87" s="1">
        <v>1.261064718842966E8</v>
      </c>
      <c r="F87" s="1">
        <v>8.025949078005779E7</v>
      </c>
      <c r="G87" s="1">
        <v>8.010546948471071E7</v>
      </c>
      <c r="H87" s="1">
        <v>17.0</v>
      </c>
      <c r="I87" s="1">
        <v>9.0</v>
      </c>
      <c r="J87" s="1">
        <v>7.0</v>
      </c>
      <c r="K87" s="1">
        <v>2.0</v>
      </c>
      <c r="L87" s="1">
        <v>8.0</v>
      </c>
      <c r="M87" s="1">
        <v>6.0</v>
      </c>
      <c r="N87" s="1">
        <v>2.0</v>
      </c>
    </row>
    <row r="88" ht="16.5" customHeight="1">
      <c r="A88" s="2" t="s">
        <v>191</v>
      </c>
      <c r="B88" s="1" t="s">
        <v>192</v>
      </c>
      <c r="C88" s="1">
        <v>3.3746621033300996E8</v>
      </c>
      <c r="D88" s="1">
        <v>1.007832331116097E8</v>
      </c>
      <c r="E88" s="1">
        <v>5.336102803692804E7</v>
      </c>
      <c r="F88" s="1">
        <v>1.108005207214203E8</v>
      </c>
      <c r="G88" s="1">
        <v>7.25214284630519E7</v>
      </c>
      <c r="H88" s="1">
        <v>446.0</v>
      </c>
      <c r="I88" s="1">
        <v>236.0</v>
      </c>
      <c r="J88" s="1">
        <v>225.0</v>
      </c>
      <c r="K88" s="1">
        <v>11.0</v>
      </c>
      <c r="L88" s="1">
        <v>210.0</v>
      </c>
      <c r="M88" s="1">
        <v>143.0</v>
      </c>
      <c r="N88" s="1">
        <v>67.0</v>
      </c>
    </row>
    <row r="89" ht="16.5" customHeight="1">
      <c r="A89" s="2" t="s">
        <v>193</v>
      </c>
      <c r="B89" s="1" t="s">
        <v>194</v>
      </c>
      <c r="C89" s="1">
        <v>1.4089710712369323E8</v>
      </c>
      <c r="D89" s="1">
        <v>2.821431089404579E7</v>
      </c>
      <c r="E89" s="1">
        <v>5.36912641011936E7</v>
      </c>
      <c r="F89" s="1">
        <v>2.883677824397104E7</v>
      </c>
      <c r="G89" s="1">
        <v>3.01547538844828E7</v>
      </c>
      <c r="H89" s="1">
        <v>102.0</v>
      </c>
      <c r="I89" s="1">
        <v>54.0</v>
      </c>
      <c r="J89" s="1">
        <v>43.0</v>
      </c>
      <c r="K89" s="1">
        <v>11.0</v>
      </c>
      <c r="L89" s="1">
        <v>48.0</v>
      </c>
      <c r="M89" s="1">
        <v>48.0</v>
      </c>
      <c r="N89" s="1">
        <v>0.0</v>
      </c>
    </row>
    <row r="90" ht="16.5" customHeight="1">
      <c r="A90" s="2" t="s">
        <v>195</v>
      </c>
      <c r="B90" s="1" t="s">
        <v>196</v>
      </c>
      <c r="C90" s="1">
        <v>8.734735191446109E8</v>
      </c>
      <c r="D90" s="1">
        <v>1.741242849853033E8</v>
      </c>
      <c r="E90" s="1">
        <v>2.481628520234794E8</v>
      </c>
      <c r="F90" s="1">
        <v>1.88523683092186E8</v>
      </c>
      <c r="G90" s="1">
        <v>2.626626990436422E8</v>
      </c>
      <c r="H90" s="1">
        <v>24.0</v>
      </c>
      <c r="I90" s="1">
        <v>12.0</v>
      </c>
      <c r="J90" s="1">
        <v>7.0</v>
      </c>
      <c r="K90" s="1">
        <v>5.0</v>
      </c>
      <c r="L90" s="1">
        <v>12.0</v>
      </c>
      <c r="M90" s="1">
        <v>10.0</v>
      </c>
      <c r="N90" s="1">
        <v>2.0</v>
      </c>
    </row>
    <row r="91" ht="16.5" customHeight="1">
      <c r="A91" s="2" t="s">
        <v>198</v>
      </c>
      <c r="B91" s="1" t="s">
        <v>200</v>
      </c>
      <c r="C91" s="1">
        <v>5.97146839929347E8</v>
      </c>
      <c r="D91" s="1">
        <v>1.792988281249825E8</v>
      </c>
      <c r="E91" s="1">
        <v>1.147278979480947E8</v>
      </c>
      <c r="F91" s="1">
        <v>1.289430535728391E8</v>
      </c>
      <c r="G91" s="1">
        <v>1.741770602834308E8</v>
      </c>
      <c r="H91" s="1">
        <v>466.0</v>
      </c>
      <c r="I91" s="1">
        <v>247.0</v>
      </c>
      <c r="J91" s="1">
        <v>241.0</v>
      </c>
      <c r="K91" s="1">
        <v>6.0</v>
      </c>
      <c r="L91" s="1">
        <v>219.0</v>
      </c>
      <c r="M91" s="1">
        <v>205.0</v>
      </c>
      <c r="N91" s="1">
        <v>14.0</v>
      </c>
    </row>
    <row r="92" ht="16.5" customHeight="1">
      <c r="A92" s="2" t="s">
        <v>201</v>
      </c>
      <c r="B92" s="1" t="s">
        <v>202</v>
      </c>
      <c r="C92" s="1">
        <v>7.448627774809797E8</v>
      </c>
      <c r="D92" s="1">
        <v>2.331205711259058E8</v>
      </c>
      <c r="E92" s="1">
        <v>1.48145791026939E8</v>
      </c>
      <c r="F92" s="1">
        <v>1.64798959907865E8</v>
      </c>
      <c r="G92" s="1">
        <v>1.9879745542027E8</v>
      </c>
      <c r="H92" s="1">
        <v>56.0</v>
      </c>
      <c r="I92" s="1">
        <v>29.0</v>
      </c>
      <c r="J92" s="1">
        <v>23.0</v>
      </c>
      <c r="K92" s="1">
        <v>6.0</v>
      </c>
      <c r="L92" s="1">
        <v>27.0</v>
      </c>
      <c r="M92" s="1">
        <v>12.0</v>
      </c>
      <c r="N92" s="1">
        <v>15.0</v>
      </c>
    </row>
    <row r="93" ht="16.5" customHeight="1">
      <c r="A93" s="2" t="s">
        <v>203</v>
      </c>
      <c r="B93" s="1" t="s">
        <v>204</v>
      </c>
      <c r="C93" s="1">
        <v>4.2029640055278087E8</v>
      </c>
      <c r="D93" s="1">
        <v>1.125991181736495E8</v>
      </c>
      <c r="E93" s="1">
        <v>1.325313365368463E8</v>
      </c>
      <c r="F93" s="1">
        <v>8.614505353822184E7</v>
      </c>
      <c r="G93" s="1">
        <v>8.902089230406317E7</v>
      </c>
      <c r="H93" s="1">
        <v>237.0</v>
      </c>
      <c r="I93" s="1">
        <v>125.0</v>
      </c>
      <c r="J93" s="1">
        <v>70.0</v>
      </c>
      <c r="K93" s="1">
        <v>55.0</v>
      </c>
      <c r="L93" s="1">
        <v>112.0</v>
      </c>
      <c r="M93" s="1">
        <v>42.0</v>
      </c>
      <c r="N93" s="1">
        <v>70.0</v>
      </c>
    </row>
    <row r="94" ht="16.5" customHeight="1">
      <c r="A94" s="2" t="s">
        <v>206</v>
      </c>
      <c r="B94" s="1" t="s">
        <v>207</v>
      </c>
      <c r="C94" s="1">
        <v>6.071908225277153E8</v>
      </c>
      <c r="D94" s="1">
        <v>1.646782901812631E8</v>
      </c>
      <c r="E94" s="1">
        <v>2.234684901837621E8</v>
      </c>
      <c r="F94" s="1">
        <v>1.159735532643332E8</v>
      </c>
      <c r="G94" s="1">
        <v>1.03070488898357E8</v>
      </c>
      <c r="H94" s="1">
        <v>45.0</v>
      </c>
      <c r="I94" s="1">
        <v>23.0</v>
      </c>
      <c r="J94" s="1">
        <v>19.0</v>
      </c>
      <c r="K94" s="1">
        <v>4.0</v>
      </c>
      <c r="L94" s="1">
        <v>22.0</v>
      </c>
      <c r="M94" s="1">
        <v>13.0</v>
      </c>
      <c r="N94" s="1">
        <v>9.0</v>
      </c>
    </row>
    <row r="95" ht="16.5" customHeight="1">
      <c r="A95" s="2" t="s">
        <v>211</v>
      </c>
      <c r="B95" s="1" t="s">
        <v>212</v>
      </c>
      <c r="C95" s="1">
        <v>7.510392728756398E8</v>
      </c>
      <c r="D95" s="1">
        <v>2.784913053963951E8</v>
      </c>
      <c r="E95" s="1">
        <v>2.001711735437065E8</v>
      </c>
      <c r="F95" s="1">
        <v>1.395028163725202E8</v>
      </c>
      <c r="G95" s="1">
        <v>1.32873977563018E8</v>
      </c>
      <c r="H95" s="1">
        <v>219.0</v>
      </c>
      <c r="I95" s="1">
        <v>116.0</v>
      </c>
      <c r="J95" s="1">
        <v>88.0</v>
      </c>
      <c r="K95" s="1">
        <v>28.0</v>
      </c>
      <c r="L95" s="1">
        <v>103.0</v>
      </c>
      <c r="M95" s="1">
        <v>55.0</v>
      </c>
      <c r="N95" s="1">
        <v>48.0</v>
      </c>
    </row>
    <row r="96" ht="16.5" customHeight="1">
      <c r="A96" s="2" t="s">
        <v>214</v>
      </c>
      <c r="B96" s="1" t="s">
        <v>215</v>
      </c>
      <c r="C96" s="1">
        <v>5.033402141660447E8</v>
      </c>
      <c r="D96" s="1">
        <v>1.462263775358906E8</v>
      </c>
      <c r="E96" s="1">
        <v>1.213836689405289E8</v>
      </c>
      <c r="F96" s="1">
        <v>1.35012594600002E8</v>
      </c>
      <c r="G96" s="1">
        <v>1.007175730896232E8</v>
      </c>
      <c r="H96" s="1">
        <v>161.0</v>
      </c>
      <c r="I96" s="1">
        <v>85.0</v>
      </c>
      <c r="J96" s="1">
        <v>44.0</v>
      </c>
      <c r="K96" s="1">
        <v>41.0</v>
      </c>
      <c r="L96" s="1">
        <v>76.0</v>
      </c>
      <c r="M96" s="1">
        <v>49.0</v>
      </c>
      <c r="N96" s="1">
        <v>27.0</v>
      </c>
    </row>
    <row r="97" ht="16.5" customHeight="1">
      <c r="A97" s="2" t="s">
        <v>216</v>
      </c>
      <c r="B97" s="1" t="s">
        <v>217</v>
      </c>
      <c r="C97" s="1">
        <v>5.358534353738749E8</v>
      </c>
      <c r="D97" s="1">
        <v>1.461671723088648E8</v>
      </c>
      <c r="E97" s="1">
        <v>1.414282778679119E8</v>
      </c>
      <c r="F97" s="1">
        <v>1.340082691759331E8</v>
      </c>
      <c r="G97" s="1">
        <v>1.142497160211651E8</v>
      </c>
      <c r="H97" s="1">
        <v>71.0</v>
      </c>
      <c r="I97" s="1">
        <v>37.0</v>
      </c>
      <c r="J97" s="1">
        <v>22.0</v>
      </c>
      <c r="K97" s="1">
        <v>15.0</v>
      </c>
      <c r="L97" s="1">
        <v>34.0</v>
      </c>
      <c r="M97" s="1">
        <v>26.0</v>
      </c>
      <c r="N97" s="1">
        <v>8.0</v>
      </c>
    </row>
    <row r="98" ht="16.5" customHeight="1">
      <c r="A98" s="2" t="s">
        <v>218</v>
      </c>
      <c r="B98" s="1" t="s">
        <v>219</v>
      </c>
      <c r="C98" s="1">
        <v>6.875569560192229E8</v>
      </c>
      <c r="D98" s="1">
        <v>1.822700970461624E8</v>
      </c>
      <c r="E98" s="1">
        <v>1.961423852697088E8</v>
      </c>
      <c r="F98" s="1">
        <v>1.258518008608834E8</v>
      </c>
      <c r="G98" s="1">
        <v>1.832926728424682E8</v>
      </c>
      <c r="H98" s="1">
        <v>127.0</v>
      </c>
      <c r="I98" s="1">
        <v>67.0</v>
      </c>
      <c r="J98" s="1">
        <v>29.0</v>
      </c>
      <c r="K98" s="1">
        <v>38.0</v>
      </c>
      <c r="L98" s="1">
        <v>60.0</v>
      </c>
      <c r="M98" s="1">
        <v>32.0</v>
      </c>
      <c r="N98" s="1">
        <v>28.0</v>
      </c>
    </row>
    <row r="99" ht="16.5" customHeight="1">
      <c r="A99" s="2" t="s">
        <v>220</v>
      </c>
      <c r="B99" s="1" t="s">
        <v>221</v>
      </c>
      <c r="C99" s="1">
        <v>3.5212427786951154E8</v>
      </c>
      <c r="D99" s="1">
        <v>7.741345954339822E7</v>
      </c>
      <c r="E99" s="1">
        <v>1.089180428943939E8</v>
      </c>
      <c r="F99" s="1">
        <v>5.113354691747563E7</v>
      </c>
      <c r="G99" s="1">
        <v>1.146592285142438E8</v>
      </c>
      <c r="H99" s="1">
        <v>191.0</v>
      </c>
      <c r="I99" s="1">
        <v>101.0</v>
      </c>
      <c r="J99" s="1">
        <v>91.0</v>
      </c>
      <c r="K99" s="1">
        <v>10.0</v>
      </c>
      <c r="L99" s="1">
        <v>90.0</v>
      </c>
      <c r="M99" s="1">
        <v>86.0</v>
      </c>
      <c r="N99" s="1">
        <v>4.0</v>
      </c>
    </row>
    <row r="100" ht="16.5" customHeight="1">
      <c r="A100" s="2" t="s">
        <v>222</v>
      </c>
      <c r="B100" s="1" t="s">
        <v>223</v>
      </c>
      <c r="C100" s="1">
        <v>8.375798032951777E7</v>
      </c>
      <c r="D100" s="1">
        <v>3.362283979655421E7</v>
      </c>
      <c r="E100" s="1">
        <v>1.869380578815057E7</v>
      </c>
      <c r="F100" s="1">
        <v>1.173023584535796E7</v>
      </c>
      <c r="G100" s="1">
        <v>1.971109889945503E7</v>
      </c>
      <c r="H100" s="1">
        <v>22.0</v>
      </c>
      <c r="I100" s="1">
        <v>11.0</v>
      </c>
      <c r="J100" s="1">
        <v>8.0</v>
      </c>
      <c r="K100" s="1">
        <v>3.0</v>
      </c>
      <c r="L100" s="1">
        <v>11.0</v>
      </c>
      <c r="M100" s="1">
        <v>9.0</v>
      </c>
      <c r="N100" s="1">
        <v>2.0</v>
      </c>
    </row>
    <row r="101" ht="16.5" customHeight="1">
      <c r="A101" s="2" t="s">
        <v>225</v>
      </c>
      <c r="B101" s="1" t="s">
        <v>226</v>
      </c>
      <c r="C101" s="1">
        <v>7.927305946455061E8</v>
      </c>
      <c r="D101" s="1">
        <v>2.21203557658462E8</v>
      </c>
      <c r="E101" s="1">
        <v>2.376912192997237E8</v>
      </c>
      <c r="F101" s="1">
        <v>2.27547129247435E8</v>
      </c>
      <c r="G101" s="1">
        <v>1.062886884398855E8</v>
      </c>
      <c r="H101" s="1">
        <v>439.0</v>
      </c>
      <c r="I101" s="1">
        <v>232.0</v>
      </c>
      <c r="J101" s="1">
        <v>157.0</v>
      </c>
      <c r="K101" s="1">
        <v>75.0</v>
      </c>
      <c r="L101" s="1">
        <v>207.0</v>
      </c>
      <c r="M101" s="1">
        <v>99.0</v>
      </c>
      <c r="N101" s="1">
        <v>108.0</v>
      </c>
    </row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