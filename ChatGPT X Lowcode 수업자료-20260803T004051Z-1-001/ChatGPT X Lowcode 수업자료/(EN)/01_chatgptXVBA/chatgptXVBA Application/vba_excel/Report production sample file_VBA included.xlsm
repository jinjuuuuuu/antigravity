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hyun\OneDrive\바탕 화면\2025_citizendeveloper\Citizen Developer_Teaching Materials (Korean)\(EN)Phase2_LOWCODE\01_chatgptXVBA\chatgptXVBA Application\vba_excel\"/>
    </mc:Choice>
  </mc:AlternateContent>
  <xr:revisionPtr revIDLastSave="0" documentId="13_ncr:1_{8489908D-5C60-4F0E-B27C-6E02169C9FB6}" xr6:coauthVersionLast="47" xr6:coauthVersionMax="47" xr10:uidLastSave="{00000000-0000-0000-0000-000000000000}"/>
  <bookViews>
    <workbookView xWindow="28695" yWindow="0" windowWidth="14610" windowHeight="15585" xr2:uid="{00000000-000D-0000-FFFF-FFFF00000000}"/>
  </bookViews>
  <sheets>
    <sheet name="Report" sheetId="2" r:id="rId1"/>
    <sheet name="RAW_DATA" sheetId="1" r:id="rId2"/>
  </sheets>
  <definedNames>
    <definedName name="_xlnm.Print_Area" localSheetId="0">Report!$A$1:$E$47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" l="1"/>
  <c r="C8" i="2"/>
  <c r="B8" i="2"/>
  <c r="B4" i="2"/>
  <c r="A1" i="2"/>
  <c r="D28" i="2"/>
  <c r="C28" i="2"/>
  <c r="B28" i="2"/>
  <c r="D27" i="2"/>
  <c r="D26" i="2"/>
  <c r="E8" i="2"/>
  <c r="A8" i="2" l="1"/>
  <c r="D24" i="2"/>
  <c r="C24" i="2"/>
  <c r="B26" i="2" l="1"/>
  <c r="C26" i="2" s="1"/>
  <c r="C27" i="2" s="1"/>
  <c r="B27" i="2" l="1"/>
</calcChain>
</file>

<file path=xl/sharedStrings.xml><?xml version="1.0" encoding="utf-8"?>
<sst xmlns="http://schemas.openxmlformats.org/spreadsheetml/2006/main" count="230" uniqueCount="225">
  <si>
    <t>Company1</t>
  </si>
  <si>
    <t>Company2</t>
  </si>
  <si>
    <t>Company3</t>
  </si>
  <si>
    <t>Company4</t>
  </si>
  <si>
    <t>Company5</t>
  </si>
  <si>
    <t>Company6</t>
  </si>
  <si>
    <t>Company7</t>
  </si>
  <si>
    <t>Company8</t>
  </si>
  <si>
    <t>Company9</t>
  </si>
  <si>
    <t>Company10</t>
  </si>
  <si>
    <t>Company11</t>
  </si>
  <si>
    <t>Company12</t>
  </si>
  <si>
    <t>Company13</t>
  </si>
  <si>
    <t>Company14</t>
  </si>
  <si>
    <t>Company15</t>
  </si>
  <si>
    <t>Company16</t>
  </si>
  <si>
    <t>Company17</t>
  </si>
  <si>
    <t>Company18</t>
  </si>
  <si>
    <t>Company19</t>
  </si>
  <si>
    <t>Company20</t>
  </si>
  <si>
    <t>Company21</t>
  </si>
  <si>
    <t>Company22</t>
  </si>
  <si>
    <t>Company23</t>
  </si>
  <si>
    <t>Company24</t>
  </si>
  <si>
    <t>Company25</t>
  </si>
  <si>
    <t>Company26</t>
  </si>
  <si>
    <t>Company27</t>
  </si>
  <si>
    <t>Company28</t>
  </si>
  <si>
    <t>Company29</t>
  </si>
  <si>
    <t>Company30</t>
  </si>
  <si>
    <t>Company31</t>
  </si>
  <si>
    <t>Company32</t>
  </si>
  <si>
    <t>Company33</t>
  </si>
  <si>
    <t>Company34</t>
  </si>
  <si>
    <t>Company35</t>
  </si>
  <si>
    <t>Company36</t>
  </si>
  <si>
    <t>Company37</t>
  </si>
  <si>
    <t>Company38</t>
  </si>
  <si>
    <t>Company39</t>
  </si>
  <si>
    <t>Company40</t>
  </si>
  <si>
    <t>Company41</t>
  </si>
  <si>
    <t>Company42</t>
  </si>
  <si>
    <t>Company43</t>
  </si>
  <si>
    <t>Company44</t>
  </si>
  <si>
    <t>Company45</t>
  </si>
  <si>
    <t>Company46</t>
  </si>
  <si>
    <t>Company47</t>
  </si>
  <si>
    <t>Company48</t>
  </si>
  <si>
    <t>Company49</t>
  </si>
  <si>
    <t>Company50</t>
  </si>
  <si>
    <t>Company51</t>
  </si>
  <si>
    <t>Company52</t>
  </si>
  <si>
    <t>Company53</t>
  </si>
  <si>
    <t>Company54</t>
  </si>
  <si>
    <t>Company55</t>
  </si>
  <si>
    <t>Company56</t>
  </si>
  <si>
    <t>Company57</t>
  </si>
  <si>
    <t>Company58</t>
  </si>
  <si>
    <t>Company59</t>
  </si>
  <si>
    <t>Company60</t>
  </si>
  <si>
    <t>Company61</t>
  </si>
  <si>
    <t>Company62</t>
  </si>
  <si>
    <t>Company63</t>
  </si>
  <si>
    <t>Company64</t>
  </si>
  <si>
    <t>Company65</t>
  </si>
  <si>
    <t>Company66</t>
  </si>
  <si>
    <t>Company67</t>
  </si>
  <si>
    <t>Company68</t>
  </si>
  <si>
    <t>Company69</t>
  </si>
  <si>
    <t>Company70</t>
  </si>
  <si>
    <t>Company71</t>
  </si>
  <si>
    <t>Company72</t>
  </si>
  <si>
    <t>Company73</t>
  </si>
  <si>
    <t>Company74</t>
  </si>
  <si>
    <t>Company75</t>
  </si>
  <si>
    <t>Company76</t>
  </si>
  <si>
    <t>Company77</t>
  </si>
  <si>
    <t>Company78</t>
  </si>
  <si>
    <t>Company79</t>
  </si>
  <si>
    <t>Company80</t>
  </si>
  <si>
    <t>Company81</t>
  </si>
  <si>
    <t>Company82</t>
  </si>
  <si>
    <t>Company83</t>
  </si>
  <si>
    <t>Company84</t>
  </si>
  <si>
    <t>Company85</t>
  </si>
  <si>
    <t>Company86</t>
  </si>
  <si>
    <t>Company87</t>
  </si>
  <si>
    <t>Company88</t>
  </si>
  <si>
    <t>Company89</t>
  </si>
  <si>
    <t>Company90</t>
  </si>
  <si>
    <t>Company91</t>
  </si>
  <si>
    <t>Company92</t>
  </si>
  <si>
    <t>Company93</t>
  </si>
  <si>
    <t>Company94</t>
  </si>
  <si>
    <t>Company95</t>
  </si>
  <si>
    <t>Company96</t>
  </si>
  <si>
    <t>Company97</t>
  </si>
  <si>
    <t>Company98</t>
  </si>
  <si>
    <t>Company99</t>
  </si>
  <si>
    <t>Company100</t>
  </si>
  <si>
    <t>809-8323-6365</t>
  </si>
  <si>
    <t>809-7084-6582</t>
  </si>
  <si>
    <t>809-3975-3453</t>
  </si>
  <si>
    <t>809-3799-9732</t>
  </si>
  <si>
    <t>809-3977-5122</t>
  </si>
  <si>
    <t>809-8158-4025</t>
  </si>
  <si>
    <t>809-5081-1038</t>
  </si>
  <si>
    <t>809-8440-9373</t>
  </si>
  <si>
    <t>809-2112-1425</t>
  </si>
  <si>
    <t>809-5525-7761</t>
  </si>
  <si>
    <t>809-6723-1959</t>
  </si>
  <si>
    <t>809-9209-1906</t>
  </si>
  <si>
    <t>809-0484-3388</t>
  </si>
  <si>
    <t>809-7038-7718</t>
  </si>
  <si>
    <t>809-4704-9064</t>
  </si>
  <si>
    <t>809-2463-3785</t>
  </si>
  <si>
    <t>809-0854-7413</t>
  </si>
  <si>
    <t>809-3925-2357</t>
  </si>
  <si>
    <t>809-2716-5003</t>
  </si>
  <si>
    <t>809-1996-6788</t>
  </si>
  <si>
    <t>809-7086-8983</t>
  </si>
  <si>
    <t>809-6174-9208</t>
  </si>
  <si>
    <t>809-2784-4176</t>
  </si>
  <si>
    <t>809-9415-9713</t>
  </si>
  <si>
    <t>809-5736-6791</t>
  </si>
  <si>
    <t>809-9603-8414</t>
  </si>
  <si>
    <t>809-5031-4440</t>
  </si>
  <si>
    <t>809-0846-9332</t>
  </si>
  <si>
    <t>809-1213-4110</t>
  </si>
  <si>
    <t>809-7843-5632</t>
  </si>
  <si>
    <t>809-9814-0839</t>
  </si>
  <si>
    <t>809-5517-8647</t>
  </si>
  <si>
    <t>809-3536-4730</t>
  </si>
  <si>
    <t>809-5937-5580</t>
  </si>
  <si>
    <t>809-8369-3270</t>
  </si>
  <si>
    <t>809-3036-1929</t>
  </si>
  <si>
    <t>809-4913-2497</t>
  </si>
  <si>
    <t>809-4941-2723</t>
  </si>
  <si>
    <t>809-9766-2360</t>
  </si>
  <si>
    <t>809-8076-5965</t>
  </si>
  <si>
    <t>809-2719-2256</t>
  </si>
  <si>
    <t>809-4221-0902</t>
  </si>
  <si>
    <t>809-8308-8105</t>
  </si>
  <si>
    <t>809-8235-3864</t>
  </si>
  <si>
    <t>809-6362-6559</t>
  </si>
  <si>
    <t>809-4651-3389</t>
  </si>
  <si>
    <t>809-5560-9751</t>
  </si>
  <si>
    <t>809-5668-7532</t>
  </si>
  <si>
    <t>809-9932-5415</t>
  </si>
  <si>
    <t>809-8358-4178</t>
  </si>
  <si>
    <t>809-1211-7504</t>
  </si>
  <si>
    <t>809-1166-0237</t>
  </si>
  <si>
    <t>809-9249-0692</t>
  </si>
  <si>
    <t>809-4730-5402</t>
  </si>
  <si>
    <t>809-3171-3417</t>
  </si>
  <si>
    <t>809-4027-4026</t>
  </si>
  <si>
    <t>809-9249-9544</t>
  </si>
  <si>
    <t>809-9815-7013</t>
  </si>
  <si>
    <t>809-9282-4829</t>
  </si>
  <si>
    <t>809-8782-3360</t>
  </si>
  <si>
    <t>809-3639-6322</t>
  </si>
  <si>
    <t>809-2646-0492</t>
  </si>
  <si>
    <t>809-1617-5616</t>
  </si>
  <si>
    <t>809-6662-5223</t>
  </si>
  <si>
    <t>809-2938-5451</t>
  </si>
  <si>
    <t>809-5829-9564</t>
  </si>
  <si>
    <t>809-0855-5100</t>
  </si>
  <si>
    <t>809-0007-6354</t>
  </si>
  <si>
    <t>809-3451-3674</t>
  </si>
  <si>
    <t>809-0073-3009</t>
  </si>
  <si>
    <t>809-4458-8015</t>
  </si>
  <si>
    <t>809-9961-4047</t>
  </si>
  <si>
    <t>809-7762-6027</t>
  </si>
  <si>
    <t>809-7261-3705</t>
  </si>
  <si>
    <t>809-4553-8015</t>
  </si>
  <si>
    <t>809-4150-6886</t>
  </si>
  <si>
    <t>809-3443-6598</t>
  </si>
  <si>
    <t>809-1381-5803</t>
  </si>
  <si>
    <t>809-7178-0759</t>
  </si>
  <si>
    <t>809-9687-5910</t>
  </si>
  <si>
    <t>809-0563-6177</t>
  </si>
  <si>
    <t>809-0760-4275</t>
  </si>
  <si>
    <t>809-2856-6415</t>
  </si>
  <si>
    <t>809-4556-3814</t>
  </si>
  <si>
    <t>809-2974-1823</t>
  </si>
  <si>
    <t>809-3416-2549</t>
  </si>
  <si>
    <t>809-1594-5744</t>
  </si>
  <si>
    <t>809-2213-0191</t>
  </si>
  <si>
    <t>809-6986-3073</t>
  </si>
  <si>
    <t>809-2597-3476</t>
  </si>
  <si>
    <t>809-7369-3713</t>
  </si>
  <si>
    <t>809-7884-5369</t>
  </si>
  <si>
    <t>809-6293-5790</t>
  </si>
  <si>
    <t>809-7125-0589</t>
  </si>
  <si>
    <t>809-8253-1738</t>
  </si>
  <si>
    <t>809-5519-7210</t>
  </si>
  <si>
    <t>809-1011-6883</t>
  </si>
  <si>
    <t>809-2074-6053</t>
  </si>
  <si>
    <t>809-3949-0653</t>
  </si>
  <si>
    <t>809-0012-0229</t>
  </si>
  <si>
    <t>최대</t>
    <phoneticPr fontId="3" type="noConversion"/>
  </si>
  <si>
    <t>최소</t>
    <phoneticPr fontId="3" type="noConversion"/>
  </si>
  <si>
    <t>Company name</t>
    <phoneticPr fontId="3" type="noConversion"/>
  </si>
  <si>
    <t>Phone number</t>
    <phoneticPr fontId="3" type="noConversion"/>
  </si>
  <si>
    <t>Profit for the 
current year</t>
    <phoneticPr fontId="3" type="noConversion"/>
  </si>
  <si>
    <t>Total</t>
    <phoneticPr fontId="3" type="noConversion"/>
  </si>
  <si>
    <t>1st quarter</t>
    <phoneticPr fontId="3" type="noConversion"/>
  </si>
  <si>
    <t>2nd quarter</t>
    <phoneticPr fontId="3" type="noConversion"/>
  </si>
  <si>
    <t>3rd quarter</t>
    <phoneticPr fontId="3" type="noConversion"/>
  </si>
  <si>
    <t>4th quarter</t>
    <phoneticPr fontId="3" type="noConversion"/>
  </si>
  <si>
    <t>Composition of executives and staff for the year</t>
    <phoneticPr fontId="3" type="noConversion"/>
  </si>
  <si>
    <t>full-time worker</t>
    <phoneticPr fontId="3" type="noConversion"/>
  </si>
  <si>
    <t>contract worker</t>
    <phoneticPr fontId="3" type="noConversion"/>
  </si>
  <si>
    <t>total</t>
    <phoneticPr fontId="3" type="noConversion"/>
  </si>
  <si>
    <t>Male</t>
    <phoneticPr fontId="3" type="noConversion"/>
  </si>
  <si>
    <t>Female</t>
    <phoneticPr fontId="3" type="noConversion"/>
  </si>
  <si>
    <t>total'</t>
    <phoneticPr fontId="3" type="noConversion"/>
  </si>
  <si>
    <t>phone number</t>
    <phoneticPr fontId="3" type="noConversion"/>
  </si>
  <si>
    <t>company 
name</t>
    <phoneticPr fontId="3" type="noConversion"/>
  </si>
  <si>
    <t>Number of 
employees</t>
    <phoneticPr fontId="3" type="noConversion"/>
  </si>
  <si>
    <t>Number of male 
executives and employees</t>
    <phoneticPr fontId="3" type="noConversion"/>
  </si>
  <si>
    <t>Number of female 
executives and employees</t>
    <phoneticPr fontId="3" type="noConversion"/>
  </si>
  <si>
    <t>Number of
full-time worker</t>
    <phoneticPr fontId="3" type="noConversion"/>
  </si>
  <si>
    <t>Number of
contract worker</t>
    <phoneticPr fontId="3" type="noConversion"/>
  </si>
  <si>
    <t>company100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</si>
</sst>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\-* #,##0_-;_-* &quot;-&quot;_-;_-@_-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sz val="11"/>
      <color theme="0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b/>
      <sz val="11"/>
      <color theme="0"/>
      <name val="Calibri"/>
      <family val="3"/>
      <charset val="129"/>
      <scheme val="minor"/>
    </font>
    <font>
      <sz val="22"/>
      <color theme="1"/>
      <name val="Calibri"/>
      <family val="2"/>
      <scheme val="minor"/>
    </font>
    <font>
      <sz val="11"/>
      <color rgb="FF9C5700"/>
      <name val="Calibri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</cellStyleXfs>
  <cellXfs count="2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4" fillId="0" borderId="0" xfId="0" applyFont="1"/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top"/>
    </xf>
    <xf numFmtId="0" fontId="5" fillId="0" borderId="1" xfId="0" applyFont="1" applyBorder="1" applyAlignment="1">
      <alignment horizontal="center"/>
    </xf>
    <xf numFmtId="164" fontId="5" fillId="0" borderId="1" xfId="1" applyFont="1" applyBorder="1" applyAlignment="1">
      <alignment horizontal="center"/>
    </xf>
    <xf numFmtId="164" fontId="6" fillId="0" borderId="1" xfId="1" applyFont="1" applyBorder="1" applyAlignment="1">
      <alignment horizontal="center"/>
    </xf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0" borderId="0" xfId="0" applyFont="1"/>
    <xf numFmtId="0" fontId="9" fillId="6" borderId="0" xfId="2" applyAlignment="1"/>
    <xf numFmtId="0" fontId="0" fillId="2" borderId="5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3">
    <cellStyle name="Comma [0]" xfId="1" builtinId="6"/>
    <cellStyle name="Neutral" xfId="2" builtinId="28"/>
    <cellStyle name="Normal" xfId="0" builtinId="0"/>
  </cellStyles>
  <dxfs count="0"/>
  <tableStyles count="0" defaultTableStyle="TableStyleMedium9" defaultPivotStyle="PivotStyleLight16"/>
  <colors>
    <mruColors>
      <color rgb="FFD99694"/>
      <color rgb="FF9537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multiLvlStrRef>
              <c:f>Report!$A$6:$E$7</c:f>
              <c:multiLvlStrCache>
                <c:ptCount val="5"/>
                <c:lvl>
                  <c:pt idx="0">
                    <c:v>Total</c:v>
                  </c:pt>
                  <c:pt idx="1">
                    <c:v>1st quarter</c:v>
                  </c:pt>
                  <c:pt idx="2">
                    <c:v>2nd quarter</c:v>
                  </c:pt>
                  <c:pt idx="3">
                    <c:v>3rd quarter</c:v>
                  </c:pt>
                  <c:pt idx="4">
                    <c:v>4th quarter</c:v>
                  </c:pt>
                </c:lvl>
                <c:lvl>
                  <c:pt idx="0">
                    <c:v>Profit for the 
current year</c:v>
                  </c:pt>
                </c:lvl>
              </c:multiLvlStrCache>
            </c:multiLvlStrRef>
          </c:cat>
          <c:val>
            <c:numRef>
              <c:f>Report!$A$8:$E$8</c:f>
              <c:numCache>
                <c:formatCode>_-* #,##0_-;\-* #,##0_-;_-* "-"_-;_-@_-</c:formatCode>
                <c:ptCount val="5"/>
                <c:pt idx="0">
                  <c:v>792730594.64550614</c:v>
                </c:pt>
                <c:pt idx="1">
                  <c:v>221203557.65846199</c:v>
                </c:pt>
                <c:pt idx="2">
                  <c:v>237691219.29972371</c:v>
                </c:pt>
                <c:pt idx="3">
                  <c:v>227547129.247435</c:v>
                </c:pt>
                <c:pt idx="4">
                  <c:v>106288688.4398855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D-4FE0-AF5B-30A1FFF76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2337343"/>
        <c:axId val="543345615"/>
      </c:barChart>
      <c:catAx>
        <c:axId val="53233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3345615"/>
        <c:crosses val="autoZero"/>
        <c:auto val="1"/>
        <c:lblAlgn val="ctr"/>
        <c:lblOffset val="100"/>
        <c:noMultiLvlLbl val="0"/>
      </c:catAx>
      <c:valAx>
        <c:axId val="54334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_-;\-* #,##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33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Report!$D$25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1BDA-432F-B1BC-8961C0123C77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1BDA-432F-B1BC-8961C0123C77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Report!$A$26:$A$27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Report!$D$26:$D$27</c:f>
              <c:numCache>
                <c:formatCode>General</c:formatCode>
                <c:ptCount val="2"/>
                <c:pt idx="0">
                  <c:v>232</c:v>
                </c:pt>
                <c:pt idx="1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A-432F-B1BC-8961C0123C77}"/>
            </c:ext>
          </c:extLst>
        </c:ser>
        <c:ser>
          <c:idx val="1"/>
          <c:order val="1"/>
          <c:tx>
            <c:strRef>
              <c:f>Report!$A$27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5122-4A15-AD2E-2C38CEF16097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5122-4A15-AD2E-2C38CEF160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Report!$A$26:$A$27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Report!$B$27:$C$27</c:f>
              <c:numCache>
                <c:formatCode>General</c:formatCode>
                <c:ptCount val="2"/>
                <c:pt idx="0">
                  <c:v>79</c:v>
                </c:pt>
                <c:pt idx="1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A-432F-B1BC-8961C0123C77}"/>
            </c:ext>
          </c:extLst>
        </c:ser>
        <c:ser>
          <c:idx val="2"/>
          <c:order val="2"/>
          <c:tx>
            <c:strRef>
              <c:f>Report!$A$28</c:f>
              <c:strCache>
                <c:ptCount val="1"/>
                <c:pt idx="0">
                  <c:v>total'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5122-4A15-AD2E-2C38CEF16097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5122-4A15-AD2E-2C38CEF160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Report!$A$26:$A$27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Report!$B$28:$C$28</c:f>
              <c:numCache>
                <c:formatCode>General</c:formatCode>
                <c:ptCount val="2"/>
                <c:pt idx="0">
                  <c:v>308</c:v>
                </c:pt>
                <c:pt idx="1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A-432F-B1BC-8961C0123C7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Report!$A$26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D6-4AB0-BF3D-D37C94DED82A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D6-4AB0-BF3D-D37C94DED82A}"/>
              </c:ext>
            </c:extLst>
          </c:dPt>
          <c:dLbls>
            <c:dLbl>
              <c:idx val="0"/>
              <c:layout>
                <c:manualLayout>
                  <c:x val="0.14458709459808924"/>
                  <c:y val="-0.18083758478026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437038101774596"/>
                      <c:h val="0.409983543007355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CD6-4AB0-BF3D-D37C94DED82A}"/>
                </c:ext>
              </c:extLst>
            </c:dLbl>
            <c:dLbl>
              <c:idx val="1"/>
              <c:layout>
                <c:manualLayout>
                  <c:x val="-0.12173377210392529"/>
                  <c:y val="0.1569389307688138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ACFDBD5-736C-433E-B063-B62F4E503350}" type="CATEGORYNAME">
                      <a:rPr lang="en-US" altLang="ko-KR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[CATEGORY NAME]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</a:t>
                    </a:r>
                  </a:p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 </a:t>
                    </a:r>
                    <a:fld id="{6EADB197-EEDD-428A-925C-122B626B8544}" type="VALUE">
                      <a:rPr lang="en-US" altLang="ko-KR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FBB607EF-9FE3-491B-97FE-D88EC4445937}" type="PERCENTAGE">
                      <a:rPr lang="en-US" altLang="ko-KR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[PERCENTAGE]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693104276553664"/>
                      <c:h val="0.31838484118213206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CD6-4AB0-BF3D-D37C94DED8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Report!$B$25:$C$25</c:f>
              <c:strCache>
                <c:ptCount val="2"/>
                <c:pt idx="0">
                  <c:v>full-time worker</c:v>
                </c:pt>
                <c:pt idx="1">
                  <c:v>contract worker</c:v>
                </c:pt>
              </c:strCache>
            </c:strRef>
          </c:cat>
          <c:val>
            <c:numRef>
              <c:f>Report!$B$26:$C$26</c:f>
              <c:numCache>
                <c:formatCode>General</c:formatCode>
                <c:ptCount val="2"/>
                <c:pt idx="0">
                  <c:v>229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A-432F-B1BC-8961C0123C77}"/>
            </c:ext>
          </c:extLst>
        </c:ser>
        <c:ser>
          <c:idx val="1"/>
          <c:order val="1"/>
          <c:tx>
            <c:strRef>
              <c:f>Report!$A$27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D6-4AB0-BF3D-D37C94DED82A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D6-4AB0-BF3D-D37C94DED8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Report!$B$25:$C$25</c:f>
              <c:strCache>
                <c:ptCount val="2"/>
                <c:pt idx="0">
                  <c:v>full-time worker</c:v>
                </c:pt>
                <c:pt idx="1">
                  <c:v>contract worker</c:v>
                </c:pt>
              </c:strCache>
            </c:strRef>
          </c:cat>
          <c:val>
            <c:numRef>
              <c:f>Report!$B$27:$C$27</c:f>
              <c:numCache>
                <c:formatCode>General</c:formatCode>
                <c:ptCount val="2"/>
                <c:pt idx="0">
                  <c:v>79</c:v>
                </c:pt>
                <c:pt idx="1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A-432F-B1BC-8961C0123C77}"/>
            </c:ext>
          </c:extLst>
        </c:ser>
        <c:ser>
          <c:idx val="2"/>
          <c:order val="2"/>
          <c:tx>
            <c:strRef>
              <c:f>Report!$A$28</c:f>
              <c:strCache>
                <c:ptCount val="1"/>
                <c:pt idx="0">
                  <c:v>total'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D6-4AB0-BF3D-D37C94DED82A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D6-4AB0-BF3D-D37C94DED8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Report!$B$25:$C$25</c:f>
              <c:strCache>
                <c:ptCount val="2"/>
                <c:pt idx="0">
                  <c:v>full-time worker</c:v>
                </c:pt>
                <c:pt idx="1">
                  <c:v>contract worker</c:v>
                </c:pt>
              </c:strCache>
            </c:strRef>
          </c:cat>
          <c:val>
            <c:numRef>
              <c:f>Report!$B$28:$C$28</c:f>
              <c:numCache>
                <c:formatCode>General</c:formatCode>
                <c:ptCount val="2"/>
                <c:pt idx="0">
                  <c:v>308</c:v>
                </c:pt>
                <c:pt idx="1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A-432F-B1BC-8961C0123C77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Report!$A$27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2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D6-4AB0-BF3D-D37C94DED82A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D6-4AB0-BF3D-D37C94DED82A}"/>
              </c:ext>
            </c:extLst>
          </c:dPt>
          <c:dLbls>
            <c:dLbl>
              <c:idx val="0"/>
              <c:layout>
                <c:manualLayout>
                  <c:x val="0.25685770936792152"/>
                  <c:y val="-6.316637625607417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53058D5-9C76-4728-8661-91F5622A1E99}" type="CATEGORYNAME">
                      <a:rPr lang="en-US" altLang="ko-KR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[CATEGORY NAME]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</a:p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1BE4448C-23DD-4BA9-87E8-A712516D4915}" type="VALUE">
                      <a:rPr lang="en-US" altLang="ko-KR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A0DA0BCE-7C14-4E51-92B6-17811F74A34E}" type="PERCENTAGE">
                      <a:rPr lang="en-US" altLang="ko-KR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[PERCENTAGE]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CD6-4AB0-BF3D-D37C94DED82A}"/>
                </c:ext>
              </c:extLst>
            </c:dLbl>
            <c:dLbl>
              <c:idx val="1"/>
              <c:layout>
                <c:manualLayout>
                  <c:x val="-0.26293729920646319"/>
                  <c:y val="0.1193142662614734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A9AEDFE-541E-4967-AFBB-2D70E4DE0427}" type="CATEGORYNAME">
                      <a:rPr lang="en-US" altLang="ko-KR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[CATEGORY NAME]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</a:p>
                  <a:p>
                    <a:pPr>
                      <a:defRPr>
                        <a:solidFill>
                          <a:schemeClr val="bg1"/>
                        </a:solidFill>
                      </a:defRPr>
                    </a:pPr>
                    <a:fld id="{B779C6E9-434D-471C-89DA-DEEF8058E558}" type="VALUE">
                      <a:rPr lang="en-US" altLang="ko-KR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[VALUE]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BD88CAA0-1855-40F1-A160-7860D92870E1}" type="PERCENTAGE">
                      <a:rPr lang="en-US" altLang="ko-KR" baseline="0">
                        <a:solidFill>
                          <a:schemeClr val="bg1"/>
                        </a:solidFill>
                      </a:rPr>
                      <a:pPr>
                        <a:defRPr>
                          <a:solidFill>
                            <a:schemeClr val="bg1"/>
                          </a:solidFill>
                        </a:defRPr>
                      </a:pPr>
                      <a:t>[PERCENTAGE]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CD6-4AB0-BF3D-D37C94DED8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2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Report!$B$25:$C$25</c:f>
              <c:strCache>
                <c:ptCount val="2"/>
                <c:pt idx="0">
                  <c:v>full-time worker</c:v>
                </c:pt>
                <c:pt idx="1">
                  <c:v>contract worker</c:v>
                </c:pt>
              </c:strCache>
            </c:strRef>
          </c:cat>
          <c:val>
            <c:numRef>
              <c:f>Report!$B$27:$C$27</c:f>
              <c:numCache>
                <c:formatCode>General</c:formatCode>
                <c:ptCount val="2"/>
                <c:pt idx="0">
                  <c:v>79</c:v>
                </c:pt>
                <c:pt idx="1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A-432F-B1BC-8961C0123C77}"/>
            </c:ext>
          </c:extLst>
        </c:ser>
        <c:ser>
          <c:idx val="1"/>
          <c:order val="1"/>
          <c:tx>
            <c:strRef>
              <c:f>Report!$A$27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2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D6-4AB0-BF3D-D37C94DED82A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D6-4AB0-BF3D-D37C94DED8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2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Report!$B$25:$C$25</c:f>
              <c:strCache>
                <c:ptCount val="2"/>
                <c:pt idx="0">
                  <c:v>full-time worker</c:v>
                </c:pt>
                <c:pt idx="1">
                  <c:v>contract worker</c:v>
                </c:pt>
              </c:strCache>
            </c:strRef>
          </c:cat>
          <c:val>
            <c:numRef>
              <c:f>Report!$B$27:$C$27</c:f>
              <c:numCache>
                <c:formatCode>General</c:formatCode>
                <c:ptCount val="2"/>
                <c:pt idx="0">
                  <c:v>79</c:v>
                </c:pt>
                <c:pt idx="1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A-432F-B1BC-8961C0123C77}"/>
            </c:ext>
          </c:extLst>
        </c:ser>
        <c:ser>
          <c:idx val="2"/>
          <c:order val="2"/>
          <c:tx>
            <c:strRef>
              <c:f>Report!$A$28</c:f>
              <c:strCache>
                <c:ptCount val="1"/>
                <c:pt idx="0">
                  <c:v>total'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2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D6-4AB0-BF3D-D37C94DED82A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D6-4AB0-BF3D-D37C94DED8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2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Report!$B$25:$C$25</c:f>
              <c:strCache>
                <c:ptCount val="2"/>
                <c:pt idx="0">
                  <c:v>full-time worker</c:v>
                </c:pt>
                <c:pt idx="1">
                  <c:v>contract worker</c:v>
                </c:pt>
              </c:strCache>
            </c:strRef>
          </c:cat>
          <c:val>
            <c:numRef>
              <c:f>Report!$B$28:$C$28</c:f>
              <c:numCache>
                <c:formatCode>General</c:formatCode>
                <c:ptCount val="2"/>
                <c:pt idx="0">
                  <c:v>308</c:v>
                </c:pt>
                <c:pt idx="1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A-432F-B1BC-8961C0123C77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23811</xdr:colOff>
      <xdr:row>9</xdr:row>
      <xdr:rowOff>4762</xdr:rowOff>
    </xdr:from>
    <xdr:to>
      <xdr:col>4</xdr:col>
      <xdr:colOff>1571624</xdr:colOff>
      <xdr:row>22</xdr:row>
      <xdr:rowOff>9525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DF4CEF8-2911-9B35-AAFE-8665DE6E4A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53836</xdr:colOff>
      <xdr:row>28</xdr:row>
      <xdr:rowOff>207063</xdr:rowOff>
    </xdr:from>
    <xdr:to>
      <xdr:col>2</xdr:col>
      <xdr:colOff>649941</xdr:colOff>
      <xdr:row>46</xdr:row>
      <xdr:rowOff>1036</xdr:rowOff>
    </xdr:to>
    <xdr:graphicFrame macro="">
      <xdr:nvGraphicFramePr>
        <xdr:cNvPr id="19" name="차트 18">
          <a:extLst>
            <a:ext uri="{FF2B5EF4-FFF2-40B4-BE49-F238E27FC236}">
              <a16:creationId xmlns:a16="http://schemas.microsoft.com/office/drawing/2014/main" id="{3F1BD1F5-014D-5C2E-4736-10EC3EFF7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661147</xdr:colOff>
      <xdr:row>29</xdr:row>
      <xdr:rowOff>8803</xdr:rowOff>
    </xdr:from>
    <xdr:to>
      <xdr:col>4</xdr:col>
      <xdr:colOff>1532281</xdr:colOff>
      <xdr:row>37</xdr:row>
      <xdr:rowOff>112058</xdr:rowOff>
    </xdr:to>
    <xdr:graphicFrame macro="">
      <xdr:nvGraphicFramePr>
        <xdr:cNvPr id="20" name="차트 19">
          <a:extLst>
            <a:ext uri="{FF2B5EF4-FFF2-40B4-BE49-F238E27FC236}">
              <a16:creationId xmlns:a16="http://schemas.microsoft.com/office/drawing/2014/main" id="{EB3CC048-53B1-1864-866B-CA29BBC2E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649941</xdr:colOff>
      <xdr:row>37</xdr:row>
      <xdr:rowOff>100853</xdr:rowOff>
    </xdr:from>
    <xdr:to>
      <xdr:col>4</xdr:col>
      <xdr:colOff>1543487</xdr:colOff>
      <xdr:row>45</xdr:row>
      <xdr:rowOff>207066</xdr:rowOff>
    </xdr:to>
    <xdr:graphicFrame macro="">
      <xdr:nvGraphicFramePr>
        <xdr:cNvPr id="21" name="차트 20">
          <a:extLst>
            <a:ext uri="{FF2B5EF4-FFF2-40B4-BE49-F238E27FC236}">
              <a16:creationId xmlns:a16="http://schemas.microsoft.com/office/drawing/2014/main" id="{916D5FDC-6EA6-4661-D151-E0C06A8382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6F9D-1B88-4DFF-8A02-9430C330DA46}">
  <sheetPr codeName="Sheet1"/>
  <dimension ref="A1:H31"/>
  <sheetViews>
    <sheetView tabSelected="1" view="pageBreakPreview" zoomScale="115" zoomScaleNormal="100" zoomScaleSheetLayoutView="115" workbookViewId="0">
      <selection activeCell="B3" sqref="B3"/>
    </sheetView>
  </sheetViews>
  <sheetFormatPr defaultRowHeight="14.4"/>
  <cols>
    <col min="1" max="1" width="19.88671875" customWidth="1"/>
    <col min="2" max="5" width="20.6640625" customWidth="1"/>
  </cols>
  <sheetData>
    <row r="1" spans="1:7" ht="28.8">
      <c r="A1" s="22" t="str">
        <f>CONCATENATE("▣ 2024 ",B3,"社 Status report")</f>
        <v>▣ 2024 company100社 Status report</v>
      </c>
    </row>
    <row r="3" spans="1:7">
      <c r="A3" s="5" t="s">
        <v>202</v>
      </c>
      <c r="B3" s="11" t="s">
        <v>224</v>
      </c>
      <c r="C3" s="3"/>
      <c r="D3" s="3"/>
      <c r="E3" s="3"/>
    </row>
    <row r="4" spans="1:7">
      <c r="A4" s="2" t="s">
        <v>203</v>
      </c>
      <c r="B4" s="12" t="str">
        <f>VLOOKUP(B3,RAW_DATA!$A$2:$L$101,2,0)</f>
        <v>809-0012-0229</v>
      </c>
      <c r="C4" s="3"/>
      <c r="D4" s="3"/>
      <c r="E4" s="3"/>
    </row>
    <row r="5" spans="1:7">
      <c r="A5" s="3"/>
      <c r="B5" s="3"/>
      <c r="C5" s="3"/>
      <c r="D5" s="3"/>
      <c r="E5" s="3"/>
    </row>
    <row r="6" spans="1:7" ht="38.25" customHeight="1">
      <c r="A6" s="24" t="s">
        <v>204</v>
      </c>
      <c r="B6" s="6"/>
      <c r="C6" s="6"/>
      <c r="D6" s="6"/>
      <c r="E6" s="7"/>
    </row>
    <row r="7" spans="1:7">
      <c r="A7" s="8" t="s">
        <v>205</v>
      </c>
      <c r="B7" s="5" t="s">
        <v>206</v>
      </c>
      <c r="C7" s="5" t="s">
        <v>207</v>
      </c>
      <c r="D7" s="5" t="s">
        <v>208</v>
      </c>
      <c r="E7" s="5" t="s">
        <v>209</v>
      </c>
    </row>
    <row r="8" spans="1:7">
      <c r="A8" s="14">
        <f>SUM(B8:E8)</f>
        <v>792730594.64550614</v>
      </c>
      <c r="B8" s="13">
        <f>VLOOKUP(B3,RAW_DATA!$A$2:$L$101,4,0)</f>
        <v>221203557.65846199</v>
      </c>
      <c r="C8" s="13">
        <f>VLOOKUP(B3,RAW_DATA!$A$2:$L$101,5,0)</f>
        <v>237691219.29972371</v>
      </c>
      <c r="D8" s="13">
        <f>VLOOKUP(B3,RAW_DATA!$A$2:$L$101,6,0)</f>
        <v>227547129.247435</v>
      </c>
      <c r="E8" s="13">
        <f>VLOOKUP(B3,RAW_DATA!$A$2:$L$101,7,0)</f>
        <v>106288688.4398855</v>
      </c>
    </row>
    <row r="13" spans="1:7">
      <c r="G13" s="23"/>
    </row>
    <row r="23" spans="1:8">
      <c r="B23" s="9"/>
      <c r="C23" s="9" t="s">
        <v>200</v>
      </c>
      <c r="D23" s="9" t="s">
        <v>201</v>
      </c>
    </row>
    <row r="24" spans="1:8">
      <c r="B24" s="9"/>
      <c r="C24" s="9">
        <f>MIN(D26,B28)</f>
        <v>232</v>
      </c>
      <c r="D24" s="9">
        <f>MAX(0,B28-D27)</f>
        <v>101</v>
      </c>
    </row>
    <row r="25" spans="1:8">
      <c r="A25" s="10" t="s">
        <v>210</v>
      </c>
      <c r="B25" s="10" t="s">
        <v>211</v>
      </c>
      <c r="C25" s="10" t="s">
        <v>212</v>
      </c>
      <c r="D25" s="10" t="s">
        <v>213</v>
      </c>
      <c r="E25" s="4"/>
      <c r="F25" s="4"/>
      <c r="G25" s="4"/>
      <c r="H25" s="4"/>
    </row>
    <row r="26" spans="1:8">
      <c r="A26" s="18" t="s">
        <v>214</v>
      </c>
      <c r="B26" s="18">
        <f ca="1">RANDBETWEEN(D24,C24)</f>
        <v>229</v>
      </c>
      <c r="C26" s="18">
        <f ca="1">D26-B26</f>
        <v>3</v>
      </c>
      <c r="D26" s="19">
        <f>VLOOKUP(B3,RAW_DATA!$A$2:$L$101,9,0)</f>
        <v>232</v>
      </c>
    </row>
    <row r="27" spans="1:8">
      <c r="A27" s="16" t="s">
        <v>215</v>
      </c>
      <c r="B27" s="16">
        <f ca="1">B28-B26</f>
        <v>79</v>
      </c>
      <c r="C27" s="16">
        <f ca="1">C28-C26</f>
        <v>128</v>
      </c>
      <c r="D27" s="17">
        <f>VLOOKUP(B3,RAW_DATA!$A$2:$L$101,10,0)</f>
        <v>207</v>
      </c>
    </row>
    <row r="28" spans="1:8">
      <c r="A28" s="20" t="s">
        <v>216</v>
      </c>
      <c r="B28" s="21">
        <f>VLOOKUP(B3,RAW_DATA!$A$2:$L$101,11,0)</f>
        <v>308</v>
      </c>
      <c r="C28" s="21">
        <f>VLOOKUP(B3,RAW_DATA!$A$2:$L$101,12,0)</f>
        <v>131</v>
      </c>
      <c r="D28" s="20">
        <f>VLOOKUP(B3,RAW_DATA!$A$2:$L$101,8,0)</f>
        <v>439</v>
      </c>
    </row>
    <row r="31" spans="1:8">
      <c r="E31" s="15"/>
    </row>
  </sheetData>
  <phoneticPr fontId="3" type="noConversion"/>
  <pageMargins left="0.7" right="0.7" top="0.75" bottom="0.75" header="0.3" footer="0.3"/>
  <pageSetup paperSize="9" scale="7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398522-5541-4C36-B56E-CBB3E4C1319C}">
          <x14:formula1>
            <xm:f>RAW_DATA!$A$2:$A$101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101"/>
  <sheetViews>
    <sheetView zoomScale="145" zoomScaleNormal="145" workbookViewId="0">
      <selection activeCell="A2" sqref="A2"/>
    </sheetView>
  </sheetViews>
  <sheetFormatPr defaultRowHeight="14.4"/>
  <cols>
    <col min="1" max="1" width="13.88671875" bestFit="1" customWidth="1"/>
    <col min="2" max="2" width="14.33203125" bestFit="1" customWidth="1"/>
    <col min="3" max="3" width="14.33203125" customWidth="1"/>
    <col min="4" max="7" width="12.77734375" bestFit="1" customWidth="1"/>
    <col min="8" max="8" width="13.77734375" customWidth="1"/>
    <col min="9" max="10" width="13.21875" bestFit="1" customWidth="1"/>
    <col min="11" max="12" width="12.77734375" bestFit="1" customWidth="1"/>
  </cols>
  <sheetData>
    <row r="1" spans="1:12" s="25" customFormat="1" ht="72">
      <c r="A1" s="26" t="s">
        <v>218</v>
      </c>
      <c r="B1" s="27" t="s">
        <v>217</v>
      </c>
      <c r="C1" s="28" t="s">
        <v>204</v>
      </c>
      <c r="D1" s="27" t="s">
        <v>206</v>
      </c>
      <c r="E1" s="27" t="s">
        <v>207</v>
      </c>
      <c r="F1" s="27" t="s">
        <v>208</v>
      </c>
      <c r="G1" s="27" t="s">
        <v>209</v>
      </c>
      <c r="H1" s="28" t="s">
        <v>219</v>
      </c>
      <c r="I1" s="28" t="s">
        <v>220</v>
      </c>
      <c r="J1" s="28" t="s">
        <v>221</v>
      </c>
      <c r="K1" s="28" t="s">
        <v>222</v>
      </c>
      <c r="L1" s="28" t="s">
        <v>223</v>
      </c>
    </row>
    <row r="2" spans="1:12">
      <c r="A2" s="1" t="s">
        <v>0</v>
      </c>
      <c r="B2" t="s">
        <v>100</v>
      </c>
      <c r="C2">
        <v>240141667.52084714</v>
      </c>
      <c r="D2">
        <v>56704058.359199136</v>
      </c>
      <c r="E2">
        <v>40666865.388532102</v>
      </c>
      <c r="F2">
        <v>86181246.403695479</v>
      </c>
      <c r="G2">
        <v>56589497.369420417</v>
      </c>
      <c r="H2">
        <v>337</v>
      </c>
      <c r="I2">
        <v>178</v>
      </c>
      <c r="J2">
        <v>159</v>
      </c>
      <c r="K2">
        <v>237</v>
      </c>
      <c r="L2">
        <v>100</v>
      </c>
    </row>
    <row r="3" spans="1:12">
      <c r="A3" s="1" t="s">
        <v>1</v>
      </c>
      <c r="B3" t="s">
        <v>101</v>
      </c>
      <c r="C3">
        <v>498636452.32815439</v>
      </c>
      <c r="D3">
        <v>143306748.87800881</v>
      </c>
      <c r="E3">
        <v>118119996.9141724</v>
      </c>
      <c r="F3">
        <v>119796078.8864025</v>
      </c>
      <c r="G3">
        <v>117413627.6495707</v>
      </c>
      <c r="H3">
        <v>375</v>
      </c>
      <c r="I3">
        <v>198</v>
      </c>
      <c r="J3">
        <v>177</v>
      </c>
      <c r="K3">
        <v>263</v>
      </c>
      <c r="L3">
        <v>112</v>
      </c>
    </row>
    <row r="4" spans="1:12">
      <c r="A4" s="1" t="s">
        <v>2</v>
      </c>
      <c r="B4" t="s">
        <v>102</v>
      </c>
      <c r="C4">
        <v>368496390.85232353</v>
      </c>
      <c r="D4">
        <v>123408391.14718179</v>
      </c>
      <c r="E4">
        <v>53927078.590075091</v>
      </c>
      <c r="F4">
        <v>94993714.12386927</v>
      </c>
      <c r="G4">
        <v>96167206.991197363</v>
      </c>
      <c r="H4">
        <v>338</v>
      </c>
      <c r="I4">
        <v>179</v>
      </c>
      <c r="J4">
        <v>159</v>
      </c>
      <c r="K4">
        <v>237</v>
      </c>
      <c r="L4">
        <v>101</v>
      </c>
    </row>
    <row r="5" spans="1:12">
      <c r="A5" s="1" t="s">
        <v>3</v>
      </c>
      <c r="B5" t="s">
        <v>103</v>
      </c>
      <c r="C5">
        <v>360120783.13378775</v>
      </c>
      <c r="D5">
        <v>57698859.768879108</v>
      </c>
      <c r="E5">
        <v>149980634.487528</v>
      </c>
      <c r="F5">
        <v>76581102.21906884</v>
      </c>
      <c r="G5">
        <v>75860186.658311814</v>
      </c>
      <c r="H5">
        <v>271</v>
      </c>
      <c r="I5">
        <v>143</v>
      </c>
      <c r="J5">
        <v>128</v>
      </c>
      <c r="K5">
        <v>190</v>
      </c>
      <c r="L5">
        <v>81</v>
      </c>
    </row>
    <row r="6" spans="1:12">
      <c r="A6" s="1" t="s">
        <v>4</v>
      </c>
      <c r="B6" t="s">
        <v>104</v>
      </c>
      <c r="C6">
        <v>548432076.75301218</v>
      </c>
      <c r="D6">
        <v>104376869.0597938</v>
      </c>
      <c r="E6">
        <v>151598057.25565711</v>
      </c>
      <c r="F6">
        <v>131320158.3951357</v>
      </c>
      <c r="G6">
        <v>161136992.04242551</v>
      </c>
      <c r="H6">
        <v>49</v>
      </c>
      <c r="I6">
        <v>25</v>
      </c>
      <c r="J6">
        <v>24</v>
      </c>
      <c r="K6">
        <v>34</v>
      </c>
      <c r="L6">
        <v>15</v>
      </c>
    </row>
    <row r="7" spans="1:12">
      <c r="A7" s="1" t="s">
        <v>5</v>
      </c>
      <c r="B7" t="s">
        <v>105</v>
      </c>
      <c r="C7">
        <v>203802798.72240728</v>
      </c>
      <c r="D7">
        <v>34775108.022242039</v>
      </c>
      <c r="E7">
        <v>59147394.311673611</v>
      </c>
      <c r="F7">
        <v>73420725.073184043</v>
      </c>
      <c r="G7">
        <v>36459571.315307572</v>
      </c>
      <c r="H7">
        <v>345</v>
      </c>
      <c r="I7">
        <v>183</v>
      </c>
      <c r="J7">
        <v>162</v>
      </c>
      <c r="K7">
        <v>242</v>
      </c>
      <c r="L7">
        <v>103</v>
      </c>
    </row>
    <row r="8" spans="1:12">
      <c r="A8" s="1" t="s">
        <v>6</v>
      </c>
      <c r="B8" t="s">
        <v>106</v>
      </c>
      <c r="C8">
        <v>434001632.87469125</v>
      </c>
      <c r="D8">
        <v>153086752.07789141</v>
      </c>
      <c r="E8">
        <v>64990007.072692499</v>
      </c>
      <c r="F8">
        <v>114314650.34946521</v>
      </c>
      <c r="G8">
        <v>101610223.3746421</v>
      </c>
      <c r="H8">
        <v>345</v>
      </c>
      <c r="I8">
        <v>183</v>
      </c>
      <c r="J8">
        <v>162</v>
      </c>
      <c r="K8">
        <v>242</v>
      </c>
      <c r="L8">
        <v>103</v>
      </c>
    </row>
    <row r="9" spans="1:12">
      <c r="A9" s="1" t="s">
        <v>7</v>
      </c>
      <c r="B9" t="s">
        <v>107</v>
      </c>
      <c r="C9">
        <v>640138118.00788581</v>
      </c>
      <c r="D9">
        <v>181891902.91387749</v>
      </c>
      <c r="E9">
        <v>189717725.8391766</v>
      </c>
      <c r="F9">
        <v>168426832.63521791</v>
      </c>
      <c r="G9">
        <v>100101656.6196138</v>
      </c>
      <c r="H9">
        <v>307</v>
      </c>
      <c r="I9">
        <v>162</v>
      </c>
      <c r="J9">
        <v>145</v>
      </c>
      <c r="K9">
        <v>215</v>
      </c>
      <c r="L9">
        <v>92</v>
      </c>
    </row>
    <row r="10" spans="1:12">
      <c r="A10" s="1" t="s">
        <v>8</v>
      </c>
      <c r="B10" t="s">
        <v>108</v>
      </c>
      <c r="C10">
        <v>407475487.86270952</v>
      </c>
      <c r="D10">
        <v>144264019.42564911</v>
      </c>
      <c r="E10">
        <v>93260270.613609478</v>
      </c>
      <c r="F10">
        <v>77960014.513512284</v>
      </c>
      <c r="G10">
        <v>91991183.309938639</v>
      </c>
      <c r="H10">
        <v>483</v>
      </c>
      <c r="I10">
        <v>256</v>
      </c>
      <c r="J10">
        <v>227</v>
      </c>
      <c r="K10">
        <v>339</v>
      </c>
      <c r="L10">
        <v>144</v>
      </c>
    </row>
    <row r="11" spans="1:12">
      <c r="A11" s="1" t="s">
        <v>9</v>
      </c>
      <c r="B11" t="s">
        <v>109</v>
      </c>
      <c r="C11">
        <v>648932780.65856028</v>
      </c>
      <c r="D11">
        <v>125625524.5466352</v>
      </c>
      <c r="E11">
        <v>164340547.66541171</v>
      </c>
      <c r="F11">
        <v>186699732.19696161</v>
      </c>
      <c r="G11">
        <v>172266976.24955171</v>
      </c>
      <c r="H11">
        <v>160</v>
      </c>
      <c r="I11">
        <v>84</v>
      </c>
      <c r="J11">
        <v>76</v>
      </c>
      <c r="K11">
        <v>112</v>
      </c>
      <c r="L11">
        <v>48</v>
      </c>
    </row>
    <row r="12" spans="1:12">
      <c r="A12" s="1" t="s">
        <v>10</v>
      </c>
      <c r="B12" t="s">
        <v>110</v>
      </c>
      <c r="C12">
        <v>593124061.59779501</v>
      </c>
      <c r="D12">
        <v>158147140.35333589</v>
      </c>
      <c r="E12">
        <v>161672573.10659951</v>
      </c>
      <c r="F12">
        <v>134294210.085217</v>
      </c>
      <c r="G12">
        <v>139010138.05264261</v>
      </c>
      <c r="H12">
        <v>483</v>
      </c>
      <c r="I12">
        <v>256</v>
      </c>
      <c r="J12">
        <v>227</v>
      </c>
      <c r="K12">
        <v>339</v>
      </c>
      <c r="L12">
        <v>144</v>
      </c>
    </row>
    <row r="13" spans="1:12">
      <c r="A13" s="1" t="s">
        <v>11</v>
      </c>
      <c r="B13" t="s">
        <v>111</v>
      </c>
      <c r="C13">
        <v>739446446.94699419</v>
      </c>
      <c r="D13">
        <v>194149669.02745071</v>
      </c>
      <c r="E13">
        <v>109814702.3717563</v>
      </c>
      <c r="F13">
        <v>245279206.22535229</v>
      </c>
      <c r="G13">
        <v>190202869.3224349</v>
      </c>
      <c r="H13">
        <v>227</v>
      </c>
      <c r="I13">
        <v>120</v>
      </c>
      <c r="J13">
        <v>107</v>
      </c>
      <c r="K13">
        <v>159</v>
      </c>
      <c r="L13">
        <v>68</v>
      </c>
    </row>
    <row r="14" spans="1:12">
      <c r="A14" s="1" t="s">
        <v>12</v>
      </c>
      <c r="B14" t="s">
        <v>112</v>
      </c>
      <c r="C14">
        <v>256630801.30191886</v>
      </c>
      <c r="D14">
        <v>77541436.808263317</v>
      </c>
      <c r="E14">
        <v>59429489.443624698</v>
      </c>
      <c r="F14">
        <v>38617233.895007417</v>
      </c>
      <c r="G14">
        <v>81042641.155023456</v>
      </c>
      <c r="H14">
        <v>413</v>
      </c>
      <c r="I14">
        <v>219</v>
      </c>
      <c r="J14">
        <v>194</v>
      </c>
      <c r="K14">
        <v>290</v>
      </c>
      <c r="L14">
        <v>123</v>
      </c>
    </row>
    <row r="15" spans="1:12">
      <c r="A15" s="1" t="s">
        <v>13</v>
      </c>
      <c r="B15" t="s">
        <v>113</v>
      </c>
      <c r="C15">
        <v>639658799.08867621</v>
      </c>
      <c r="D15">
        <v>198509394.02690959</v>
      </c>
      <c r="E15">
        <v>153917688.91429001</v>
      </c>
      <c r="F15">
        <v>207723422.0552772</v>
      </c>
      <c r="G15">
        <v>79508294.092199445</v>
      </c>
      <c r="H15">
        <v>328</v>
      </c>
      <c r="I15">
        <v>174</v>
      </c>
      <c r="J15">
        <v>154</v>
      </c>
      <c r="K15">
        <v>230</v>
      </c>
      <c r="L15">
        <v>98</v>
      </c>
    </row>
    <row r="16" spans="1:12">
      <c r="A16" s="1" t="s">
        <v>14</v>
      </c>
      <c r="B16" t="s">
        <v>114</v>
      </c>
      <c r="C16">
        <v>278572219.05362415</v>
      </c>
      <c r="D16">
        <v>62140395.26568725</v>
      </c>
      <c r="E16">
        <v>51786200.806565873</v>
      </c>
      <c r="F16">
        <v>68111445.279647157</v>
      </c>
      <c r="G16">
        <v>96534177.701723889</v>
      </c>
      <c r="H16">
        <v>295</v>
      </c>
      <c r="I16">
        <v>156</v>
      </c>
      <c r="J16">
        <v>139</v>
      </c>
      <c r="K16">
        <v>207</v>
      </c>
      <c r="L16">
        <v>88</v>
      </c>
    </row>
    <row r="17" spans="1:12">
      <c r="A17" s="1" t="s">
        <v>15</v>
      </c>
      <c r="B17" t="s">
        <v>115</v>
      </c>
      <c r="C17">
        <v>150740714.74106422</v>
      </c>
      <c r="D17">
        <v>55062563.0264742</v>
      </c>
      <c r="E17">
        <v>27662993.66561785</v>
      </c>
      <c r="F17">
        <v>22585866.335092779</v>
      </c>
      <c r="G17">
        <v>45429291.713879399</v>
      </c>
      <c r="H17">
        <v>275</v>
      </c>
      <c r="I17">
        <v>145</v>
      </c>
      <c r="J17">
        <v>130</v>
      </c>
      <c r="K17">
        <v>193</v>
      </c>
      <c r="L17">
        <v>82</v>
      </c>
    </row>
    <row r="18" spans="1:12">
      <c r="A18" s="1" t="s">
        <v>16</v>
      </c>
      <c r="B18" t="s">
        <v>116</v>
      </c>
      <c r="C18">
        <v>487876949.30910599</v>
      </c>
      <c r="D18">
        <v>76074451.706759512</v>
      </c>
      <c r="E18">
        <v>153184278.59387481</v>
      </c>
      <c r="F18">
        <v>105023120.73049019</v>
      </c>
      <c r="G18">
        <v>153595098.27798149</v>
      </c>
      <c r="H18">
        <v>405</v>
      </c>
      <c r="I18">
        <v>214</v>
      </c>
      <c r="J18">
        <v>191</v>
      </c>
      <c r="K18">
        <v>284</v>
      </c>
      <c r="L18">
        <v>121</v>
      </c>
    </row>
    <row r="19" spans="1:12">
      <c r="A19" s="1" t="s">
        <v>17</v>
      </c>
      <c r="B19" t="s">
        <v>117</v>
      </c>
      <c r="C19">
        <v>244530585.68388343</v>
      </c>
      <c r="D19">
        <v>66198871.684846133</v>
      </c>
      <c r="E19">
        <v>70401850.621690974</v>
      </c>
      <c r="F19">
        <v>78322225.834279269</v>
      </c>
      <c r="G19">
        <v>29607637.54306706</v>
      </c>
      <c r="H19">
        <v>391</v>
      </c>
      <c r="I19">
        <v>207</v>
      </c>
      <c r="J19">
        <v>184</v>
      </c>
      <c r="K19">
        <v>274</v>
      </c>
      <c r="L19">
        <v>117</v>
      </c>
    </row>
    <row r="20" spans="1:12">
      <c r="A20" s="1" t="s">
        <v>18</v>
      </c>
      <c r="B20" t="s">
        <v>118</v>
      </c>
      <c r="C20">
        <v>281445209.70769811</v>
      </c>
      <c r="D20">
        <v>53662390.90696945</v>
      </c>
      <c r="E20">
        <v>63060895.095535778</v>
      </c>
      <c r="F20">
        <v>61219026.9945288</v>
      </c>
      <c r="G20">
        <v>103502896.71066409</v>
      </c>
      <c r="H20">
        <v>109</v>
      </c>
      <c r="I20">
        <v>57</v>
      </c>
      <c r="J20">
        <v>52</v>
      </c>
      <c r="K20">
        <v>76</v>
      </c>
      <c r="L20">
        <v>33</v>
      </c>
    </row>
    <row r="21" spans="1:12">
      <c r="A21" s="1" t="s">
        <v>19</v>
      </c>
      <c r="B21" t="s">
        <v>119</v>
      </c>
      <c r="C21">
        <v>190300257.51381618</v>
      </c>
      <c r="D21">
        <v>46562656.245431557</v>
      </c>
      <c r="E21">
        <v>54183451.721761167</v>
      </c>
      <c r="F21">
        <v>65889707.051940627</v>
      </c>
      <c r="G21">
        <v>23664442.49468283</v>
      </c>
      <c r="H21">
        <v>36</v>
      </c>
      <c r="I21">
        <v>19</v>
      </c>
      <c r="J21">
        <v>17</v>
      </c>
      <c r="K21">
        <v>25</v>
      </c>
      <c r="L21">
        <v>11</v>
      </c>
    </row>
    <row r="22" spans="1:12">
      <c r="A22" s="1" t="s">
        <v>20</v>
      </c>
      <c r="B22" t="s">
        <v>120</v>
      </c>
      <c r="C22">
        <v>313013247.04319614</v>
      </c>
      <c r="D22">
        <v>99869384.084358558</v>
      </c>
      <c r="E22">
        <v>85304413.715025112</v>
      </c>
      <c r="F22">
        <v>74066168.964816079</v>
      </c>
      <c r="G22">
        <v>53773280.278996423</v>
      </c>
      <c r="H22">
        <v>369</v>
      </c>
      <c r="I22">
        <v>195</v>
      </c>
      <c r="J22">
        <v>174</v>
      </c>
      <c r="K22">
        <v>259</v>
      </c>
      <c r="L22">
        <v>110</v>
      </c>
    </row>
    <row r="23" spans="1:12">
      <c r="A23" s="1" t="s">
        <v>21</v>
      </c>
      <c r="B23" t="s">
        <v>121</v>
      </c>
      <c r="C23">
        <v>687455422.30126023</v>
      </c>
      <c r="D23">
        <v>177826748.85132131</v>
      </c>
      <c r="E23">
        <v>186815071.88642749</v>
      </c>
      <c r="F23">
        <v>123685190.17296439</v>
      </c>
      <c r="G23">
        <v>199128411.3905471</v>
      </c>
      <c r="H23">
        <v>265</v>
      </c>
      <c r="I23">
        <v>140</v>
      </c>
      <c r="J23">
        <v>125</v>
      </c>
      <c r="K23">
        <v>186</v>
      </c>
      <c r="L23">
        <v>79</v>
      </c>
    </row>
    <row r="24" spans="1:12">
      <c r="A24" s="1" t="s">
        <v>22</v>
      </c>
      <c r="B24" t="s">
        <v>122</v>
      </c>
      <c r="C24">
        <v>656353199.98872483</v>
      </c>
      <c r="D24">
        <v>208664673.2782355</v>
      </c>
      <c r="E24">
        <v>120281107.7470942</v>
      </c>
      <c r="F24">
        <v>220339545.27308071</v>
      </c>
      <c r="G24">
        <v>107067873.6903144</v>
      </c>
      <c r="H24">
        <v>220</v>
      </c>
      <c r="I24">
        <v>116</v>
      </c>
      <c r="J24">
        <v>104</v>
      </c>
      <c r="K24">
        <v>154</v>
      </c>
      <c r="L24">
        <v>66</v>
      </c>
    </row>
    <row r="25" spans="1:12">
      <c r="A25" s="1" t="s">
        <v>23</v>
      </c>
      <c r="B25" t="s">
        <v>123</v>
      </c>
      <c r="C25">
        <v>389329112.13290787</v>
      </c>
      <c r="D25">
        <v>92333919.616336256</v>
      </c>
      <c r="E25">
        <v>121784937.3964586</v>
      </c>
      <c r="F25">
        <v>90852260.360516772</v>
      </c>
      <c r="G25">
        <v>84357994.759596244</v>
      </c>
      <c r="H25">
        <v>82</v>
      </c>
      <c r="I25">
        <v>43</v>
      </c>
      <c r="J25">
        <v>39</v>
      </c>
      <c r="K25">
        <v>57</v>
      </c>
      <c r="L25">
        <v>25</v>
      </c>
    </row>
    <row r="26" spans="1:12">
      <c r="A26" s="1" t="s">
        <v>24</v>
      </c>
      <c r="B26" t="s">
        <v>124</v>
      </c>
      <c r="C26">
        <v>267044070.20149261</v>
      </c>
      <c r="D26">
        <v>56229388.312319949</v>
      </c>
      <c r="E26">
        <v>62093992.544790611</v>
      </c>
      <c r="F26">
        <v>46632120.726107553</v>
      </c>
      <c r="G26">
        <v>102088568.6182745</v>
      </c>
      <c r="H26">
        <v>265</v>
      </c>
      <c r="I26">
        <v>140</v>
      </c>
      <c r="J26">
        <v>125</v>
      </c>
      <c r="K26">
        <v>186</v>
      </c>
      <c r="L26">
        <v>79</v>
      </c>
    </row>
    <row r="27" spans="1:12">
      <c r="A27" s="1" t="s">
        <v>25</v>
      </c>
      <c r="B27" t="s">
        <v>125</v>
      </c>
      <c r="C27">
        <v>370367146.7595104</v>
      </c>
      <c r="D27">
        <v>67080117.336207233</v>
      </c>
      <c r="E27">
        <v>75893178.71371308</v>
      </c>
      <c r="F27">
        <v>126336534.28310549</v>
      </c>
      <c r="G27">
        <v>101057316.4264846</v>
      </c>
      <c r="H27">
        <v>139</v>
      </c>
      <c r="I27">
        <v>73</v>
      </c>
      <c r="J27">
        <v>66</v>
      </c>
      <c r="K27">
        <v>97</v>
      </c>
      <c r="L27">
        <v>42</v>
      </c>
    </row>
    <row r="28" spans="1:12">
      <c r="A28" s="1" t="s">
        <v>26</v>
      </c>
      <c r="B28" t="s">
        <v>126</v>
      </c>
      <c r="C28">
        <v>477497242.34420073</v>
      </c>
      <c r="D28">
        <v>98207429.679327086</v>
      </c>
      <c r="E28">
        <v>140195016.92859769</v>
      </c>
      <c r="F28">
        <v>122391955.2678885</v>
      </c>
      <c r="G28">
        <v>116702840.4683875</v>
      </c>
      <c r="H28">
        <v>365</v>
      </c>
      <c r="I28">
        <v>193</v>
      </c>
      <c r="J28">
        <v>172</v>
      </c>
      <c r="K28">
        <v>256</v>
      </c>
      <c r="L28">
        <v>109</v>
      </c>
    </row>
    <row r="29" spans="1:12">
      <c r="A29" s="1" t="s">
        <v>27</v>
      </c>
      <c r="B29" t="s">
        <v>127</v>
      </c>
      <c r="C29">
        <v>470064456.64129508</v>
      </c>
      <c r="D29">
        <v>138120038.31219479</v>
      </c>
      <c r="E29">
        <v>80416154.913432807</v>
      </c>
      <c r="F29">
        <v>149486809.3505339</v>
      </c>
      <c r="G29">
        <v>102041454.0651336</v>
      </c>
      <c r="H29">
        <v>124</v>
      </c>
      <c r="I29">
        <v>65</v>
      </c>
      <c r="J29">
        <v>59</v>
      </c>
      <c r="K29">
        <v>87</v>
      </c>
      <c r="L29">
        <v>37</v>
      </c>
    </row>
    <row r="30" spans="1:12">
      <c r="A30" s="1" t="s">
        <v>28</v>
      </c>
      <c r="B30" t="s">
        <v>128</v>
      </c>
      <c r="C30">
        <v>134017662.83370204</v>
      </c>
      <c r="D30">
        <v>55116641.39552293</v>
      </c>
      <c r="E30">
        <v>25774349.366289131</v>
      </c>
      <c r="F30">
        <v>19045577.382123381</v>
      </c>
      <c r="G30">
        <v>34081094.689766601</v>
      </c>
      <c r="H30">
        <v>251</v>
      </c>
      <c r="I30">
        <v>133</v>
      </c>
      <c r="J30">
        <v>118</v>
      </c>
      <c r="K30">
        <v>176</v>
      </c>
      <c r="L30">
        <v>75</v>
      </c>
    </row>
    <row r="31" spans="1:12">
      <c r="A31" s="1" t="s">
        <v>29</v>
      </c>
      <c r="B31" t="s">
        <v>129</v>
      </c>
      <c r="C31">
        <v>420195407.43634659</v>
      </c>
      <c r="D31">
        <v>97355129.348844305</v>
      </c>
      <c r="E31">
        <v>124106429.05964141</v>
      </c>
      <c r="F31">
        <v>77361098.701694101</v>
      </c>
      <c r="G31">
        <v>121372750.32616679</v>
      </c>
      <c r="H31">
        <v>184</v>
      </c>
      <c r="I31">
        <v>97</v>
      </c>
      <c r="J31">
        <v>87</v>
      </c>
      <c r="K31">
        <v>129</v>
      </c>
      <c r="L31">
        <v>55</v>
      </c>
    </row>
    <row r="32" spans="1:12">
      <c r="A32" s="1" t="s">
        <v>30</v>
      </c>
      <c r="B32" t="s">
        <v>130</v>
      </c>
      <c r="C32">
        <v>310259980.90881634</v>
      </c>
      <c r="D32">
        <v>52668837.423032723</v>
      </c>
      <c r="E32">
        <v>79689115.252540216</v>
      </c>
      <c r="F32">
        <v>110254667.13652571</v>
      </c>
      <c r="G32">
        <v>67647361.0967177</v>
      </c>
      <c r="H32">
        <v>321</v>
      </c>
      <c r="I32">
        <v>170</v>
      </c>
      <c r="J32">
        <v>151</v>
      </c>
      <c r="K32">
        <v>225</v>
      </c>
      <c r="L32">
        <v>96</v>
      </c>
    </row>
    <row r="33" spans="1:12">
      <c r="A33" s="1" t="s">
        <v>31</v>
      </c>
      <c r="B33" t="s">
        <v>131</v>
      </c>
      <c r="C33">
        <v>902184015.01997161</v>
      </c>
      <c r="D33">
        <v>242854263.97915369</v>
      </c>
      <c r="E33">
        <v>146894869.31812629</v>
      </c>
      <c r="F33">
        <v>215929713.2871145</v>
      </c>
      <c r="G33">
        <v>296505168.43557709</v>
      </c>
      <c r="H33">
        <v>20</v>
      </c>
      <c r="I33">
        <v>10</v>
      </c>
      <c r="J33">
        <v>10</v>
      </c>
      <c r="K33">
        <v>14</v>
      </c>
      <c r="L33">
        <v>6</v>
      </c>
    </row>
    <row r="34" spans="1:12">
      <c r="A34" s="1" t="s">
        <v>32</v>
      </c>
      <c r="B34" t="s">
        <v>132</v>
      </c>
      <c r="C34">
        <v>222308181.88240254</v>
      </c>
      <c r="D34">
        <v>65193784.252220973</v>
      </c>
      <c r="E34">
        <v>52341204.071751043</v>
      </c>
      <c r="F34">
        <v>53025730.364898831</v>
      </c>
      <c r="G34">
        <v>51747463.193531707</v>
      </c>
      <c r="H34">
        <v>212</v>
      </c>
      <c r="I34">
        <v>112</v>
      </c>
      <c r="J34">
        <v>100</v>
      </c>
      <c r="K34">
        <v>149</v>
      </c>
      <c r="L34">
        <v>63</v>
      </c>
    </row>
    <row r="35" spans="1:12">
      <c r="A35" s="1" t="s">
        <v>33</v>
      </c>
      <c r="B35" t="s">
        <v>133</v>
      </c>
      <c r="C35">
        <v>660077295.05905211</v>
      </c>
      <c r="D35">
        <v>180210995.44220909</v>
      </c>
      <c r="E35">
        <v>164348415.08849651</v>
      </c>
      <c r="F35">
        <v>121013293.67505661</v>
      </c>
      <c r="G35">
        <v>194504590.85328999</v>
      </c>
      <c r="H35">
        <v>290</v>
      </c>
      <c r="I35">
        <v>153</v>
      </c>
      <c r="J35">
        <v>137</v>
      </c>
      <c r="K35">
        <v>203</v>
      </c>
      <c r="L35">
        <v>87</v>
      </c>
    </row>
    <row r="36" spans="1:12">
      <c r="A36" s="1" t="s">
        <v>34</v>
      </c>
      <c r="B36" t="s">
        <v>134</v>
      </c>
      <c r="C36">
        <v>521054442.65670085</v>
      </c>
      <c r="D36">
        <v>91953532.042580143</v>
      </c>
      <c r="E36">
        <v>180171363.5509643</v>
      </c>
      <c r="F36">
        <v>139014581.2488499</v>
      </c>
      <c r="G36">
        <v>109914965.8143065</v>
      </c>
      <c r="H36">
        <v>361</v>
      </c>
      <c r="I36">
        <v>191</v>
      </c>
      <c r="J36">
        <v>170</v>
      </c>
      <c r="K36">
        <v>253</v>
      </c>
      <c r="L36">
        <v>108</v>
      </c>
    </row>
    <row r="37" spans="1:12">
      <c r="A37" s="1" t="s">
        <v>35</v>
      </c>
      <c r="B37" t="s">
        <v>135</v>
      </c>
      <c r="C37">
        <v>526462842.17192364</v>
      </c>
      <c r="D37">
        <v>66079719.19099661</v>
      </c>
      <c r="E37">
        <v>169780375.56029159</v>
      </c>
      <c r="F37">
        <v>115127792.14506461</v>
      </c>
      <c r="G37">
        <v>175474955.27557081</v>
      </c>
      <c r="H37">
        <v>53</v>
      </c>
      <c r="I37">
        <v>28</v>
      </c>
      <c r="J37">
        <v>25</v>
      </c>
      <c r="K37">
        <v>37</v>
      </c>
      <c r="L37">
        <v>16</v>
      </c>
    </row>
    <row r="38" spans="1:12">
      <c r="A38" s="1" t="s">
        <v>36</v>
      </c>
      <c r="B38" t="s">
        <v>136</v>
      </c>
      <c r="C38">
        <v>253250094.33797285</v>
      </c>
      <c r="D38">
        <v>56434926.548626997</v>
      </c>
      <c r="E38">
        <v>93180785.404906288</v>
      </c>
      <c r="F38">
        <v>56862990.8122067</v>
      </c>
      <c r="G38">
        <v>46771391.57223288</v>
      </c>
      <c r="H38">
        <v>485</v>
      </c>
      <c r="I38">
        <v>257</v>
      </c>
      <c r="J38">
        <v>228</v>
      </c>
      <c r="K38">
        <v>341</v>
      </c>
      <c r="L38">
        <v>144</v>
      </c>
    </row>
    <row r="39" spans="1:12">
      <c r="A39" s="1" t="s">
        <v>37</v>
      </c>
      <c r="B39" t="s">
        <v>137</v>
      </c>
      <c r="C39">
        <v>243045517.63986018</v>
      </c>
      <c r="D39">
        <v>87806817.930168033</v>
      </c>
      <c r="E39">
        <v>54993580.742246263</v>
      </c>
      <c r="F39">
        <v>58316861.911192</v>
      </c>
      <c r="G39">
        <v>41928257.056253873</v>
      </c>
      <c r="H39">
        <v>151</v>
      </c>
      <c r="I39">
        <v>80</v>
      </c>
      <c r="J39">
        <v>71</v>
      </c>
      <c r="K39">
        <v>106</v>
      </c>
      <c r="L39">
        <v>45</v>
      </c>
    </row>
    <row r="40" spans="1:12">
      <c r="A40" s="1" t="s">
        <v>38</v>
      </c>
      <c r="B40" t="s">
        <v>138</v>
      </c>
      <c r="C40">
        <v>123902121.82908729</v>
      </c>
      <c r="D40">
        <v>35033666.671454899</v>
      </c>
      <c r="E40">
        <v>20495376.368396729</v>
      </c>
      <c r="F40">
        <v>19999982.308904991</v>
      </c>
      <c r="G40">
        <v>48373096.480330668</v>
      </c>
      <c r="H40">
        <v>472</v>
      </c>
      <c r="I40">
        <v>250</v>
      </c>
      <c r="J40">
        <v>222</v>
      </c>
      <c r="K40">
        <v>331</v>
      </c>
      <c r="L40">
        <v>141</v>
      </c>
    </row>
    <row r="41" spans="1:12">
      <c r="A41" s="1" t="s">
        <v>39</v>
      </c>
      <c r="B41" t="s">
        <v>139</v>
      </c>
      <c r="C41">
        <v>168413590.80474389</v>
      </c>
      <c r="D41">
        <v>36243881.500386797</v>
      </c>
      <c r="E41">
        <v>38148818.559294313</v>
      </c>
      <c r="F41">
        <v>25931636.385862932</v>
      </c>
      <c r="G41">
        <v>68089254.359199852</v>
      </c>
      <c r="H41">
        <v>65</v>
      </c>
      <c r="I41">
        <v>34</v>
      </c>
      <c r="J41">
        <v>31</v>
      </c>
      <c r="K41">
        <v>45</v>
      </c>
      <c r="L41">
        <v>20</v>
      </c>
    </row>
    <row r="42" spans="1:12">
      <c r="A42" s="1" t="s">
        <v>40</v>
      </c>
      <c r="B42" t="s">
        <v>140</v>
      </c>
      <c r="C42">
        <v>754288790.67390692</v>
      </c>
      <c r="D42">
        <v>249249285.7896283</v>
      </c>
      <c r="E42">
        <v>173120575.90626991</v>
      </c>
      <c r="F42">
        <v>234317840.15419811</v>
      </c>
      <c r="G42">
        <v>97601088.823810682</v>
      </c>
      <c r="H42">
        <v>15</v>
      </c>
      <c r="I42">
        <v>7</v>
      </c>
      <c r="J42">
        <v>8</v>
      </c>
      <c r="K42">
        <v>10</v>
      </c>
      <c r="L42">
        <v>5</v>
      </c>
    </row>
    <row r="43" spans="1:12">
      <c r="A43" s="1" t="s">
        <v>41</v>
      </c>
      <c r="B43" t="s">
        <v>141</v>
      </c>
      <c r="C43">
        <v>454771341.07419926</v>
      </c>
      <c r="D43">
        <v>154703622.63707489</v>
      </c>
      <c r="E43">
        <v>81736952.12733002</v>
      </c>
      <c r="F43">
        <v>145372266.95529121</v>
      </c>
      <c r="G43">
        <v>72958499.354503155</v>
      </c>
      <c r="H43">
        <v>417</v>
      </c>
      <c r="I43">
        <v>221</v>
      </c>
      <c r="J43">
        <v>196</v>
      </c>
      <c r="K43">
        <v>293</v>
      </c>
      <c r="L43">
        <v>124</v>
      </c>
    </row>
    <row r="44" spans="1:12">
      <c r="A44" s="1" t="s">
        <v>42</v>
      </c>
      <c r="B44" t="s">
        <v>142</v>
      </c>
      <c r="C44">
        <v>454832550.09039301</v>
      </c>
      <c r="D44">
        <v>155750574.39192039</v>
      </c>
      <c r="E44">
        <v>82022539.517184496</v>
      </c>
      <c r="F44">
        <v>102397320.9936575</v>
      </c>
      <c r="G44">
        <v>114662115.18763059</v>
      </c>
      <c r="H44">
        <v>52</v>
      </c>
      <c r="I44">
        <v>27</v>
      </c>
      <c r="J44">
        <v>25</v>
      </c>
      <c r="K44">
        <v>36</v>
      </c>
      <c r="L44">
        <v>16</v>
      </c>
    </row>
    <row r="45" spans="1:12">
      <c r="A45" s="1" t="s">
        <v>43</v>
      </c>
      <c r="B45" t="s">
        <v>143</v>
      </c>
      <c r="C45">
        <v>280362125.65598965</v>
      </c>
      <c r="D45">
        <v>45469385.125951111</v>
      </c>
      <c r="E45">
        <v>86178578.476658776</v>
      </c>
      <c r="F45">
        <v>55912319.607705086</v>
      </c>
      <c r="G45">
        <v>92801842.445674628</v>
      </c>
      <c r="H45">
        <v>113</v>
      </c>
      <c r="I45">
        <v>59</v>
      </c>
      <c r="J45">
        <v>54</v>
      </c>
      <c r="K45">
        <v>79</v>
      </c>
      <c r="L45">
        <v>34</v>
      </c>
    </row>
    <row r="46" spans="1:12">
      <c r="A46" s="1" t="s">
        <v>44</v>
      </c>
      <c r="B46" t="s">
        <v>144</v>
      </c>
      <c r="C46">
        <v>659751889.59479678</v>
      </c>
      <c r="D46">
        <v>204904964.29967019</v>
      </c>
      <c r="E46">
        <v>205071077.42265561</v>
      </c>
      <c r="F46">
        <v>77397015.327030927</v>
      </c>
      <c r="G46">
        <v>172378832.54544011</v>
      </c>
      <c r="H46">
        <v>59</v>
      </c>
      <c r="I46">
        <v>31</v>
      </c>
      <c r="J46">
        <v>28</v>
      </c>
      <c r="K46">
        <v>41</v>
      </c>
      <c r="L46">
        <v>18</v>
      </c>
    </row>
    <row r="47" spans="1:12">
      <c r="A47" s="1" t="s">
        <v>45</v>
      </c>
      <c r="B47" t="s">
        <v>145</v>
      </c>
      <c r="C47">
        <v>253861112.7171092</v>
      </c>
      <c r="D47">
        <v>61160868.032582507</v>
      </c>
      <c r="E47">
        <v>65815139.35894721</v>
      </c>
      <c r="F47">
        <v>51046033.134237207</v>
      </c>
      <c r="G47">
        <v>75839072.191342309</v>
      </c>
      <c r="H47">
        <v>367</v>
      </c>
      <c r="I47">
        <v>194</v>
      </c>
      <c r="J47">
        <v>173</v>
      </c>
      <c r="K47">
        <v>258</v>
      </c>
      <c r="L47">
        <v>109</v>
      </c>
    </row>
    <row r="48" spans="1:12">
      <c r="A48" s="1" t="s">
        <v>46</v>
      </c>
      <c r="B48" t="s">
        <v>146</v>
      </c>
      <c r="C48">
        <v>606916359.37955213</v>
      </c>
      <c r="D48">
        <v>135634213.22089231</v>
      </c>
      <c r="E48">
        <v>151925876.26219711</v>
      </c>
      <c r="F48">
        <v>203688473.84022039</v>
      </c>
      <c r="G48">
        <v>115667796.0562423</v>
      </c>
      <c r="H48">
        <v>368</v>
      </c>
      <c r="I48">
        <v>195</v>
      </c>
      <c r="J48">
        <v>173</v>
      </c>
      <c r="K48">
        <v>258</v>
      </c>
      <c r="L48">
        <v>110</v>
      </c>
    </row>
    <row r="49" spans="1:12">
      <c r="A49" s="1" t="s">
        <v>47</v>
      </c>
      <c r="B49" t="s">
        <v>147</v>
      </c>
      <c r="C49">
        <v>114196496.15510798</v>
      </c>
      <c r="D49">
        <v>14378634.019731419</v>
      </c>
      <c r="E49">
        <v>38049122.133855969</v>
      </c>
      <c r="F49">
        <v>38305057.333488457</v>
      </c>
      <c r="G49">
        <v>23463682.66803214</v>
      </c>
      <c r="H49">
        <v>85</v>
      </c>
      <c r="I49">
        <v>45</v>
      </c>
      <c r="J49">
        <v>40</v>
      </c>
      <c r="K49">
        <v>59</v>
      </c>
      <c r="L49">
        <v>26</v>
      </c>
    </row>
    <row r="50" spans="1:12">
      <c r="A50" s="1" t="s">
        <v>48</v>
      </c>
      <c r="B50" t="s">
        <v>148</v>
      </c>
      <c r="C50">
        <v>150856185.18715093</v>
      </c>
      <c r="D50">
        <v>19673314.038426701</v>
      </c>
      <c r="E50">
        <v>46415416.145599931</v>
      </c>
      <c r="F50">
        <v>55060486.075663216</v>
      </c>
      <c r="G50">
        <v>29706968.927461099</v>
      </c>
      <c r="H50">
        <v>383</v>
      </c>
      <c r="I50">
        <v>203</v>
      </c>
      <c r="J50">
        <v>180</v>
      </c>
      <c r="K50">
        <v>269</v>
      </c>
      <c r="L50">
        <v>114</v>
      </c>
    </row>
    <row r="51" spans="1:12">
      <c r="A51" s="1" t="s">
        <v>49</v>
      </c>
      <c r="B51" t="s">
        <v>149</v>
      </c>
      <c r="C51">
        <v>506530502.04813367</v>
      </c>
      <c r="D51">
        <v>158404486.82266939</v>
      </c>
      <c r="E51">
        <v>106906082.2709105</v>
      </c>
      <c r="F51">
        <v>96130546.19325757</v>
      </c>
      <c r="G51">
        <v>145089386.76129621</v>
      </c>
      <c r="H51">
        <v>450</v>
      </c>
      <c r="I51">
        <v>238</v>
      </c>
      <c r="J51">
        <v>212</v>
      </c>
      <c r="K51">
        <v>316</v>
      </c>
      <c r="L51">
        <v>134</v>
      </c>
    </row>
    <row r="52" spans="1:12">
      <c r="A52" s="1" t="s">
        <v>50</v>
      </c>
      <c r="B52" t="s">
        <v>150</v>
      </c>
      <c r="C52">
        <v>654196724.52814674</v>
      </c>
      <c r="D52">
        <v>192626800.82527909</v>
      </c>
      <c r="E52">
        <v>123442876.28589649</v>
      </c>
      <c r="F52">
        <v>230999772.96169549</v>
      </c>
      <c r="G52">
        <v>107127274.4552757</v>
      </c>
      <c r="H52">
        <v>437</v>
      </c>
      <c r="I52">
        <v>231</v>
      </c>
      <c r="J52">
        <v>206</v>
      </c>
      <c r="K52">
        <v>307</v>
      </c>
      <c r="L52">
        <v>130</v>
      </c>
    </row>
    <row r="53" spans="1:12">
      <c r="A53" s="1" t="s">
        <v>51</v>
      </c>
      <c r="B53" t="s">
        <v>151</v>
      </c>
      <c r="C53">
        <v>152872194.02326354</v>
      </c>
      <c r="D53">
        <v>39171121.414211623</v>
      </c>
      <c r="E53">
        <v>34958266.190183192</v>
      </c>
      <c r="F53">
        <v>33991148.909051463</v>
      </c>
      <c r="G53">
        <v>44751657.50981725</v>
      </c>
      <c r="H53">
        <v>162</v>
      </c>
      <c r="I53">
        <v>85</v>
      </c>
      <c r="J53">
        <v>77</v>
      </c>
      <c r="K53">
        <v>113</v>
      </c>
      <c r="L53">
        <v>49</v>
      </c>
    </row>
    <row r="54" spans="1:12">
      <c r="A54" s="1" t="s">
        <v>52</v>
      </c>
      <c r="B54" t="s">
        <v>152</v>
      </c>
      <c r="C54">
        <v>745219439.28549099</v>
      </c>
      <c r="D54">
        <v>197355560.6604684</v>
      </c>
      <c r="E54">
        <v>125122669.2347842</v>
      </c>
      <c r="F54">
        <v>193399123.37219259</v>
      </c>
      <c r="G54">
        <v>229342086.01804581</v>
      </c>
      <c r="H54">
        <v>347</v>
      </c>
      <c r="I54">
        <v>184</v>
      </c>
      <c r="J54">
        <v>163</v>
      </c>
      <c r="K54">
        <v>244</v>
      </c>
      <c r="L54">
        <v>103</v>
      </c>
    </row>
    <row r="55" spans="1:12">
      <c r="A55" s="1" t="s">
        <v>53</v>
      </c>
      <c r="B55" t="s">
        <v>153</v>
      </c>
      <c r="C55">
        <v>177181565.80518109</v>
      </c>
      <c r="D55">
        <v>42336410.205780402</v>
      </c>
      <c r="E55">
        <v>50662829.355939373</v>
      </c>
      <c r="F55">
        <v>27699584.60229788</v>
      </c>
      <c r="G55">
        <v>56482741.641163424</v>
      </c>
      <c r="H55">
        <v>31</v>
      </c>
      <c r="I55">
        <v>16</v>
      </c>
      <c r="J55">
        <v>15</v>
      </c>
      <c r="K55">
        <v>21</v>
      </c>
      <c r="L55">
        <v>10</v>
      </c>
    </row>
    <row r="56" spans="1:12">
      <c r="A56" s="1" t="s">
        <v>54</v>
      </c>
      <c r="B56" t="s">
        <v>154</v>
      </c>
      <c r="C56">
        <v>882440741.29432273</v>
      </c>
      <c r="D56">
        <v>188327133.4331103</v>
      </c>
      <c r="E56">
        <v>283192318.95081681</v>
      </c>
      <c r="F56">
        <v>121375077.7402847</v>
      </c>
      <c r="G56">
        <v>289546211.170111</v>
      </c>
      <c r="H56">
        <v>488</v>
      </c>
      <c r="I56">
        <v>258</v>
      </c>
      <c r="J56">
        <v>230</v>
      </c>
      <c r="K56">
        <v>343</v>
      </c>
      <c r="L56">
        <v>145</v>
      </c>
    </row>
    <row r="57" spans="1:12">
      <c r="A57" s="1" t="s">
        <v>55</v>
      </c>
      <c r="B57" t="s">
        <v>155</v>
      </c>
      <c r="C57">
        <v>321225793.33949202</v>
      </c>
      <c r="D57">
        <v>86677967.252924576</v>
      </c>
      <c r="E57">
        <v>91332123.59877269</v>
      </c>
      <c r="F57">
        <v>58645158.227520302</v>
      </c>
      <c r="G57">
        <v>84570544.260274455</v>
      </c>
      <c r="H57">
        <v>156</v>
      </c>
      <c r="I57">
        <v>82</v>
      </c>
      <c r="J57">
        <v>74</v>
      </c>
      <c r="K57">
        <v>109</v>
      </c>
      <c r="L57">
        <v>47</v>
      </c>
    </row>
    <row r="58" spans="1:12">
      <c r="A58" s="1" t="s">
        <v>56</v>
      </c>
      <c r="B58" t="s">
        <v>156</v>
      </c>
      <c r="C58">
        <v>539402033.98586023</v>
      </c>
      <c r="D58">
        <v>157130016.56254461</v>
      </c>
      <c r="E58">
        <v>166784815.73496869</v>
      </c>
      <c r="F58">
        <v>84997885.817819774</v>
      </c>
      <c r="G58">
        <v>130489315.87052719</v>
      </c>
      <c r="H58">
        <v>73</v>
      </c>
      <c r="I58">
        <v>38</v>
      </c>
      <c r="J58">
        <v>35</v>
      </c>
      <c r="K58">
        <v>51</v>
      </c>
      <c r="L58">
        <v>22</v>
      </c>
    </row>
    <row r="59" spans="1:12">
      <c r="A59" s="1" t="s">
        <v>57</v>
      </c>
      <c r="B59" t="s">
        <v>157</v>
      </c>
      <c r="C59">
        <v>117306051.06563234</v>
      </c>
      <c r="D59">
        <v>31551931.335440151</v>
      </c>
      <c r="E59">
        <v>24014819.582178831</v>
      </c>
      <c r="F59">
        <v>26139987.765572131</v>
      </c>
      <c r="G59">
        <v>35599312.382441223</v>
      </c>
      <c r="H59">
        <v>355</v>
      </c>
      <c r="I59">
        <v>188</v>
      </c>
      <c r="J59">
        <v>167</v>
      </c>
      <c r="K59">
        <v>249</v>
      </c>
      <c r="L59">
        <v>106</v>
      </c>
    </row>
    <row r="60" spans="1:12">
      <c r="A60" s="1" t="s">
        <v>58</v>
      </c>
      <c r="B60" t="s">
        <v>158</v>
      </c>
      <c r="C60">
        <v>406029510.51026291</v>
      </c>
      <c r="D60">
        <v>97765573.126214355</v>
      </c>
      <c r="E60">
        <v>104459666.8765782</v>
      </c>
      <c r="F60">
        <v>87018485.31655702</v>
      </c>
      <c r="G60">
        <v>116785785.19091339</v>
      </c>
      <c r="H60">
        <v>39</v>
      </c>
      <c r="I60">
        <v>20</v>
      </c>
      <c r="J60">
        <v>19</v>
      </c>
      <c r="K60">
        <v>27</v>
      </c>
      <c r="L60">
        <v>12</v>
      </c>
    </row>
    <row r="61" spans="1:12">
      <c r="A61" s="1" t="s">
        <v>59</v>
      </c>
      <c r="B61" t="s">
        <v>159</v>
      </c>
      <c r="C61">
        <v>487966759.55179399</v>
      </c>
      <c r="D61">
        <v>115829093.13529681</v>
      </c>
      <c r="E61">
        <v>120728176.15502571</v>
      </c>
      <c r="F61">
        <v>165624701.43907791</v>
      </c>
      <c r="G61">
        <v>85784788.822393596</v>
      </c>
      <c r="H61">
        <v>303</v>
      </c>
      <c r="I61">
        <v>160</v>
      </c>
      <c r="J61">
        <v>143</v>
      </c>
      <c r="K61">
        <v>213</v>
      </c>
      <c r="L61">
        <v>90</v>
      </c>
    </row>
    <row r="62" spans="1:12">
      <c r="A62" s="1" t="s">
        <v>60</v>
      </c>
      <c r="B62" t="s">
        <v>160</v>
      </c>
      <c r="C62">
        <v>496637065.25153172</v>
      </c>
      <c r="D62">
        <v>86923217.306748271</v>
      </c>
      <c r="E62">
        <v>87267287.048374176</v>
      </c>
      <c r="F62">
        <v>192395984.45978871</v>
      </c>
      <c r="G62">
        <v>130050576.43662059</v>
      </c>
      <c r="H62">
        <v>443</v>
      </c>
      <c r="I62">
        <v>235</v>
      </c>
      <c r="J62">
        <v>208</v>
      </c>
      <c r="K62">
        <v>311</v>
      </c>
      <c r="L62">
        <v>132</v>
      </c>
    </row>
    <row r="63" spans="1:12">
      <c r="A63" s="1" t="s">
        <v>61</v>
      </c>
      <c r="B63" t="s">
        <v>161</v>
      </c>
      <c r="C63">
        <v>382954127.73315126</v>
      </c>
      <c r="D63">
        <v>85260403.365561813</v>
      </c>
      <c r="E63">
        <v>103084518.9165301</v>
      </c>
      <c r="F63">
        <v>61907436.060471669</v>
      </c>
      <c r="G63">
        <v>132701769.3905877</v>
      </c>
      <c r="H63">
        <v>178</v>
      </c>
      <c r="I63">
        <v>94</v>
      </c>
      <c r="J63">
        <v>84</v>
      </c>
      <c r="K63">
        <v>125</v>
      </c>
      <c r="L63">
        <v>53</v>
      </c>
    </row>
    <row r="64" spans="1:12">
      <c r="A64" s="1" t="s">
        <v>62</v>
      </c>
      <c r="B64" t="s">
        <v>162</v>
      </c>
      <c r="C64">
        <v>508931776.0559454</v>
      </c>
      <c r="D64">
        <v>70023630.604095101</v>
      </c>
      <c r="E64">
        <v>148081542.00306839</v>
      </c>
      <c r="F64">
        <v>144360894.4360117</v>
      </c>
      <c r="G64">
        <v>146465709.01277021</v>
      </c>
      <c r="H64">
        <v>372</v>
      </c>
      <c r="I64">
        <v>197</v>
      </c>
      <c r="J64">
        <v>175</v>
      </c>
      <c r="K64">
        <v>261</v>
      </c>
      <c r="L64">
        <v>111</v>
      </c>
    </row>
    <row r="65" spans="1:12">
      <c r="A65" s="1" t="s">
        <v>63</v>
      </c>
      <c r="B65" t="s">
        <v>163</v>
      </c>
      <c r="C65">
        <v>412194896.8540839</v>
      </c>
      <c r="D65">
        <v>112816239.80165531</v>
      </c>
      <c r="E65">
        <v>147976973.24980941</v>
      </c>
      <c r="F65">
        <v>75043421.59863925</v>
      </c>
      <c r="G65">
        <v>76358262.203979939</v>
      </c>
      <c r="H65">
        <v>233</v>
      </c>
      <c r="I65">
        <v>123</v>
      </c>
      <c r="J65">
        <v>110</v>
      </c>
      <c r="K65">
        <v>163</v>
      </c>
      <c r="L65">
        <v>70</v>
      </c>
    </row>
    <row r="66" spans="1:12">
      <c r="A66" s="1" t="s">
        <v>64</v>
      </c>
      <c r="B66" t="s">
        <v>164</v>
      </c>
      <c r="C66">
        <v>912359605.2100687</v>
      </c>
      <c r="D66">
        <v>207182914.36385429</v>
      </c>
      <c r="E66">
        <v>150332570.5198893</v>
      </c>
      <c r="F66">
        <v>279274388.79063672</v>
      </c>
      <c r="G66">
        <v>275569731.5356884</v>
      </c>
      <c r="H66">
        <v>113</v>
      </c>
      <c r="I66">
        <v>59</v>
      </c>
      <c r="J66">
        <v>54</v>
      </c>
      <c r="K66">
        <v>79</v>
      </c>
      <c r="L66">
        <v>34</v>
      </c>
    </row>
    <row r="67" spans="1:12">
      <c r="A67" s="1" t="s">
        <v>65</v>
      </c>
      <c r="B67" t="s">
        <v>165</v>
      </c>
      <c r="C67">
        <v>675625783.12386346</v>
      </c>
      <c r="D67">
        <v>131081906.94656821</v>
      </c>
      <c r="E67">
        <v>224921820.3371563</v>
      </c>
      <c r="F67">
        <v>194005394.18610209</v>
      </c>
      <c r="G67">
        <v>125616661.65403689</v>
      </c>
      <c r="H67">
        <v>277</v>
      </c>
      <c r="I67">
        <v>146</v>
      </c>
      <c r="J67">
        <v>131</v>
      </c>
      <c r="K67">
        <v>194</v>
      </c>
      <c r="L67">
        <v>83</v>
      </c>
    </row>
    <row r="68" spans="1:12">
      <c r="A68" s="1" t="s">
        <v>66</v>
      </c>
      <c r="B68" t="s">
        <v>166</v>
      </c>
      <c r="C68">
        <v>658517895.236848</v>
      </c>
      <c r="D68">
        <v>216039705.20517749</v>
      </c>
      <c r="E68">
        <v>189225557.232016</v>
      </c>
      <c r="F68">
        <v>128856631.321674</v>
      </c>
      <c r="G68">
        <v>124396001.47798049</v>
      </c>
      <c r="H68">
        <v>322</v>
      </c>
      <c r="I68">
        <v>170</v>
      </c>
      <c r="J68">
        <v>152</v>
      </c>
      <c r="K68">
        <v>226</v>
      </c>
      <c r="L68">
        <v>96</v>
      </c>
    </row>
    <row r="69" spans="1:12">
      <c r="A69" s="1" t="s">
        <v>67</v>
      </c>
      <c r="B69" t="s">
        <v>167</v>
      </c>
      <c r="C69">
        <v>847616298.55349839</v>
      </c>
      <c r="D69">
        <v>225899645.95836401</v>
      </c>
      <c r="E69">
        <v>277077291.79391581</v>
      </c>
      <c r="F69">
        <v>189859319.81114429</v>
      </c>
      <c r="G69">
        <v>154780040.99007431</v>
      </c>
      <c r="H69">
        <v>457</v>
      </c>
      <c r="I69">
        <v>242</v>
      </c>
      <c r="J69">
        <v>215</v>
      </c>
      <c r="K69">
        <v>321</v>
      </c>
      <c r="L69">
        <v>136</v>
      </c>
    </row>
    <row r="70" spans="1:12">
      <c r="A70" s="1" t="s">
        <v>68</v>
      </c>
      <c r="B70" t="s">
        <v>168</v>
      </c>
      <c r="C70">
        <v>505695788.9321304</v>
      </c>
      <c r="D70">
        <v>73537708.01951918</v>
      </c>
      <c r="E70">
        <v>120884813.233816</v>
      </c>
      <c r="F70">
        <v>141910362.1381357</v>
      </c>
      <c r="G70">
        <v>169362905.54065949</v>
      </c>
      <c r="H70">
        <v>152</v>
      </c>
      <c r="I70">
        <v>80</v>
      </c>
      <c r="J70">
        <v>72</v>
      </c>
      <c r="K70">
        <v>106</v>
      </c>
      <c r="L70">
        <v>46</v>
      </c>
    </row>
    <row r="71" spans="1:12">
      <c r="A71" s="1" t="s">
        <v>69</v>
      </c>
      <c r="B71" t="s">
        <v>169</v>
      </c>
      <c r="C71">
        <v>496720064.9117384</v>
      </c>
      <c r="D71">
        <v>78241657.301137865</v>
      </c>
      <c r="E71">
        <v>124694568.91352069</v>
      </c>
      <c r="F71">
        <v>156919177.3941915</v>
      </c>
      <c r="G71">
        <v>136864661.3028883</v>
      </c>
      <c r="H71">
        <v>298</v>
      </c>
      <c r="I71">
        <v>158</v>
      </c>
      <c r="J71">
        <v>140</v>
      </c>
      <c r="K71">
        <v>209</v>
      </c>
      <c r="L71">
        <v>89</v>
      </c>
    </row>
    <row r="72" spans="1:12">
      <c r="A72" s="1" t="s">
        <v>70</v>
      </c>
      <c r="B72" t="s">
        <v>170</v>
      </c>
      <c r="C72">
        <v>467860638.31456435</v>
      </c>
      <c r="D72">
        <v>101970469.5361928</v>
      </c>
      <c r="E72">
        <v>99574023.583181873</v>
      </c>
      <c r="F72">
        <v>131674810.52004489</v>
      </c>
      <c r="G72">
        <v>134641334.67514479</v>
      </c>
      <c r="H72">
        <v>203</v>
      </c>
      <c r="I72">
        <v>107</v>
      </c>
      <c r="J72">
        <v>96</v>
      </c>
      <c r="K72">
        <v>142</v>
      </c>
      <c r="L72">
        <v>61</v>
      </c>
    </row>
    <row r="73" spans="1:12">
      <c r="A73" s="1" t="s">
        <v>71</v>
      </c>
      <c r="B73" t="s">
        <v>171</v>
      </c>
      <c r="C73">
        <v>407860826.64109242</v>
      </c>
      <c r="D73">
        <v>115312156.2057616</v>
      </c>
      <c r="E73">
        <v>91135208.24936825</v>
      </c>
      <c r="F73">
        <v>95641607.33750844</v>
      </c>
      <c r="G73">
        <v>105771854.8484541</v>
      </c>
      <c r="H73">
        <v>131</v>
      </c>
      <c r="I73">
        <v>69</v>
      </c>
      <c r="J73">
        <v>62</v>
      </c>
      <c r="K73">
        <v>92</v>
      </c>
      <c r="L73">
        <v>39</v>
      </c>
    </row>
    <row r="74" spans="1:12">
      <c r="A74" s="1" t="s">
        <v>72</v>
      </c>
      <c r="B74" t="s">
        <v>172</v>
      </c>
      <c r="C74">
        <v>753128640.05517912</v>
      </c>
      <c r="D74">
        <v>160987489.61965871</v>
      </c>
      <c r="E74">
        <v>211480117.84415641</v>
      </c>
      <c r="F74">
        <v>271566681.41477609</v>
      </c>
      <c r="G74">
        <v>109094351.17658789</v>
      </c>
      <c r="H74">
        <v>383</v>
      </c>
      <c r="I74">
        <v>203</v>
      </c>
      <c r="J74">
        <v>180</v>
      </c>
      <c r="K74">
        <v>269</v>
      </c>
      <c r="L74">
        <v>114</v>
      </c>
    </row>
    <row r="75" spans="1:12">
      <c r="A75" s="1" t="s">
        <v>73</v>
      </c>
      <c r="B75" t="s">
        <v>173</v>
      </c>
      <c r="C75">
        <v>405738645.837147</v>
      </c>
      <c r="D75">
        <v>61931464.442060918</v>
      </c>
      <c r="E75">
        <v>129667841.54853889</v>
      </c>
      <c r="F75">
        <v>123259159.9729794</v>
      </c>
      <c r="G75">
        <v>90880179.87356779</v>
      </c>
      <c r="H75">
        <v>331</v>
      </c>
      <c r="I75">
        <v>175</v>
      </c>
      <c r="J75">
        <v>156</v>
      </c>
      <c r="K75">
        <v>232</v>
      </c>
      <c r="L75">
        <v>99</v>
      </c>
    </row>
    <row r="76" spans="1:12">
      <c r="A76" s="1" t="s">
        <v>74</v>
      </c>
      <c r="B76" t="s">
        <v>174</v>
      </c>
      <c r="C76">
        <v>326120994.39784843</v>
      </c>
      <c r="D76">
        <v>79066516.154487625</v>
      </c>
      <c r="E76">
        <v>53371887.822894841</v>
      </c>
      <c r="F76">
        <v>98725431.941677898</v>
      </c>
      <c r="G76">
        <v>94957158.478788078</v>
      </c>
      <c r="H76">
        <v>46</v>
      </c>
      <c r="I76">
        <v>24</v>
      </c>
      <c r="J76">
        <v>22</v>
      </c>
      <c r="K76">
        <v>32</v>
      </c>
      <c r="L76">
        <v>14</v>
      </c>
    </row>
    <row r="77" spans="1:12">
      <c r="A77" s="1" t="s">
        <v>75</v>
      </c>
      <c r="B77" t="s">
        <v>175</v>
      </c>
      <c r="C77">
        <v>683396939.77623725</v>
      </c>
      <c r="D77">
        <v>198248678.41355681</v>
      </c>
      <c r="E77">
        <v>238996253.99994189</v>
      </c>
      <c r="F77">
        <v>119562658.9142855</v>
      </c>
      <c r="G77">
        <v>126589348.4484531</v>
      </c>
      <c r="H77">
        <v>260</v>
      </c>
      <c r="I77">
        <v>137</v>
      </c>
      <c r="J77">
        <v>123</v>
      </c>
      <c r="K77">
        <v>182</v>
      </c>
      <c r="L77">
        <v>78</v>
      </c>
    </row>
    <row r="78" spans="1:12">
      <c r="A78" s="1" t="s">
        <v>76</v>
      </c>
      <c r="B78" t="s">
        <v>176</v>
      </c>
      <c r="C78">
        <v>514597805.07139665</v>
      </c>
      <c r="D78">
        <v>99599568.451532155</v>
      </c>
      <c r="E78">
        <v>188105020.1762462</v>
      </c>
      <c r="F78">
        <v>95276636.869068831</v>
      </c>
      <c r="G78">
        <v>131616579.5745495</v>
      </c>
      <c r="H78">
        <v>35</v>
      </c>
      <c r="I78">
        <v>18</v>
      </c>
      <c r="J78">
        <v>17</v>
      </c>
      <c r="K78">
        <v>24</v>
      </c>
      <c r="L78">
        <v>11</v>
      </c>
    </row>
    <row r="79" spans="1:12">
      <c r="A79" s="1" t="s">
        <v>77</v>
      </c>
      <c r="B79" t="s">
        <v>177</v>
      </c>
      <c r="C79">
        <v>614986729.37983811</v>
      </c>
      <c r="D79">
        <v>140280586.66326249</v>
      </c>
      <c r="E79">
        <v>122935569.8096723</v>
      </c>
      <c r="F79">
        <v>141644463.17112961</v>
      </c>
      <c r="G79">
        <v>210126109.73577371</v>
      </c>
      <c r="H79">
        <v>470</v>
      </c>
      <c r="I79">
        <v>249</v>
      </c>
      <c r="J79">
        <v>221</v>
      </c>
      <c r="K79">
        <v>330</v>
      </c>
      <c r="L79">
        <v>140</v>
      </c>
    </row>
    <row r="80" spans="1:12">
      <c r="A80" s="1" t="s">
        <v>78</v>
      </c>
      <c r="B80" t="s">
        <v>178</v>
      </c>
      <c r="C80">
        <v>720673011.37623608</v>
      </c>
      <c r="D80">
        <v>204717822.6970337</v>
      </c>
      <c r="E80">
        <v>190900995.01716289</v>
      </c>
      <c r="F80">
        <v>125558039.1009884</v>
      </c>
      <c r="G80">
        <v>199496154.5610511</v>
      </c>
      <c r="H80">
        <v>82</v>
      </c>
      <c r="I80">
        <v>43</v>
      </c>
      <c r="J80">
        <v>39</v>
      </c>
      <c r="K80">
        <v>57</v>
      </c>
      <c r="L80">
        <v>25</v>
      </c>
    </row>
    <row r="81" spans="1:12">
      <c r="A81" s="1" t="s">
        <v>79</v>
      </c>
      <c r="B81" t="s">
        <v>179</v>
      </c>
      <c r="C81">
        <v>393831773.0221318</v>
      </c>
      <c r="D81">
        <v>131340928.1886643</v>
      </c>
      <c r="E81">
        <v>94810180.471240073</v>
      </c>
      <c r="F81">
        <v>64665085.559384242</v>
      </c>
      <c r="G81">
        <v>103015578.8028432</v>
      </c>
      <c r="H81">
        <v>60</v>
      </c>
      <c r="I81">
        <v>31</v>
      </c>
      <c r="J81">
        <v>29</v>
      </c>
      <c r="K81">
        <v>42</v>
      </c>
      <c r="L81">
        <v>18</v>
      </c>
    </row>
    <row r="82" spans="1:12">
      <c r="A82" s="1" t="s">
        <v>80</v>
      </c>
      <c r="B82" t="s">
        <v>180</v>
      </c>
      <c r="C82">
        <v>574075304.80952859</v>
      </c>
      <c r="D82">
        <v>177091378.06069469</v>
      </c>
      <c r="E82">
        <v>160489236.52106029</v>
      </c>
      <c r="F82">
        <v>149637034.1909911</v>
      </c>
      <c r="G82">
        <v>86857656.036782458</v>
      </c>
      <c r="H82">
        <v>22</v>
      </c>
      <c r="I82">
        <v>11</v>
      </c>
      <c r="J82">
        <v>11</v>
      </c>
      <c r="K82">
        <v>15</v>
      </c>
      <c r="L82">
        <v>7</v>
      </c>
    </row>
    <row r="83" spans="1:12">
      <c r="A83" s="1" t="s">
        <v>81</v>
      </c>
      <c r="B83" t="s">
        <v>181</v>
      </c>
      <c r="C83">
        <v>88208661.776577711</v>
      </c>
      <c r="D83">
        <v>21713639.20580487</v>
      </c>
      <c r="E83">
        <v>22331098.255143449</v>
      </c>
      <c r="F83">
        <v>15466995.146600951</v>
      </c>
      <c r="G83">
        <v>28696929.16902845</v>
      </c>
      <c r="H83">
        <v>418</v>
      </c>
      <c r="I83">
        <v>221</v>
      </c>
      <c r="J83">
        <v>197</v>
      </c>
      <c r="K83">
        <v>293</v>
      </c>
      <c r="L83">
        <v>125</v>
      </c>
    </row>
    <row r="84" spans="1:12">
      <c r="A84" s="1" t="s">
        <v>82</v>
      </c>
      <c r="B84" t="s">
        <v>182</v>
      </c>
      <c r="C84">
        <v>290156074.54063904</v>
      </c>
      <c r="D84">
        <v>40063969.43576064</v>
      </c>
      <c r="E84">
        <v>95760185.555620536</v>
      </c>
      <c r="F84">
        <v>72409503.301939979</v>
      </c>
      <c r="G84">
        <v>81922416.24731791</v>
      </c>
      <c r="H84">
        <v>157</v>
      </c>
      <c r="I84">
        <v>83</v>
      </c>
      <c r="J84">
        <v>74</v>
      </c>
      <c r="K84">
        <v>110</v>
      </c>
      <c r="L84">
        <v>47</v>
      </c>
    </row>
    <row r="85" spans="1:12">
      <c r="A85" s="1" t="s">
        <v>83</v>
      </c>
      <c r="B85" t="s">
        <v>183</v>
      </c>
      <c r="C85">
        <v>321417559.36283463</v>
      </c>
      <c r="D85">
        <v>62768701.973290011</v>
      </c>
      <c r="E85">
        <v>84634238.398062438</v>
      </c>
      <c r="F85">
        <v>88783009.946111038</v>
      </c>
      <c r="G85">
        <v>85231609.045371175</v>
      </c>
      <c r="H85">
        <v>205</v>
      </c>
      <c r="I85">
        <v>108</v>
      </c>
      <c r="J85">
        <v>97</v>
      </c>
      <c r="K85">
        <v>144</v>
      </c>
      <c r="L85">
        <v>61</v>
      </c>
    </row>
    <row r="86" spans="1:12">
      <c r="A86" s="1" t="s">
        <v>84</v>
      </c>
      <c r="B86" t="s">
        <v>184</v>
      </c>
      <c r="C86">
        <v>490752151.10369527</v>
      </c>
      <c r="D86">
        <v>68259739.417451143</v>
      </c>
      <c r="E86">
        <v>168547943.7582866</v>
      </c>
      <c r="F86">
        <v>167241366.3363207</v>
      </c>
      <c r="G86">
        <v>86703101.591636807</v>
      </c>
      <c r="H86">
        <v>404</v>
      </c>
      <c r="I86">
        <v>214</v>
      </c>
      <c r="J86">
        <v>190</v>
      </c>
      <c r="K86">
        <v>284</v>
      </c>
      <c r="L86">
        <v>120</v>
      </c>
    </row>
    <row r="87" spans="1:12">
      <c r="A87" s="1" t="s">
        <v>85</v>
      </c>
      <c r="B87" t="s">
        <v>185</v>
      </c>
      <c r="C87">
        <v>372384011.12398505</v>
      </c>
      <c r="D87">
        <v>85912578.974919945</v>
      </c>
      <c r="E87">
        <v>126106471.8842966</v>
      </c>
      <c r="F87">
        <v>80259490.780057788</v>
      </c>
      <c r="G87">
        <v>80105469.484710708</v>
      </c>
      <c r="H87">
        <v>17</v>
      </c>
      <c r="I87">
        <v>9</v>
      </c>
      <c r="J87">
        <v>8</v>
      </c>
      <c r="K87">
        <v>11</v>
      </c>
      <c r="L87">
        <v>6</v>
      </c>
    </row>
    <row r="88" spans="1:12">
      <c r="A88" s="1" t="s">
        <v>86</v>
      </c>
      <c r="B88" t="s">
        <v>186</v>
      </c>
      <c r="C88">
        <v>337466210.33300996</v>
      </c>
      <c r="D88">
        <v>100783233.1116097</v>
      </c>
      <c r="E88">
        <v>53361028.036928043</v>
      </c>
      <c r="F88">
        <v>110800520.7214203</v>
      </c>
      <c r="G88">
        <v>72521428.4630519</v>
      </c>
      <c r="H88">
        <v>446</v>
      </c>
      <c r="I88">
        <v>236</v>
      </c>
      <c r="J88">
        <v>210</v>
      </c>
      <c r="K88">
        <v>313</v>
      </c>
      <c r="L88">
        <v>133</v>
      </c>
    </row>
    <row r="89" spans="1:12">
      <c r="A89" s="1" t="s">
        <v>87</v>
      </c>
      <c r="B89" t="s">
        <v>187</v>
      </c>
      <c r="C89">
        <v>140897107.12369323</v>
      </c>
      <c r="D89">
        <v>28214310.894045789</v>
      </c>
      <c r="E89">
        <v>53691264.101193599</v>
      </c>
      <c r="F89">
        <v>28836778.243971039</v>
      </c>
      <c r="G89">
        <v>30154753.884482801</v>
      </c>
      <c r="H89">
        <v>102</v>
      </c>
      <c r="I89">
        <v>54</v>
      </c>
      <c r="J89">
        <v>48</v>
      </c>
      <c r="K89">
        <v>71</v>
      </c>
      <c r="L89">
        <v>31</v>
      </c>
    </row>
    <row r="90" spans="1:12">
      <c r="A90" s="1" t="s">
        <v>88</v>
      </c>
      <c r="B90" t="s">
        <v>188</v>
      </c>
      <c r="C90">
        <v>873473519.14461088</v>
      </c>
      <c r="D90">
        <v>174124284.98530331</v>
      </c>
      <c r="E90">
        <v>248162852.0234794</v>
      </c>
      <c r="F90">
        <v>188523683.092186</v>
      </c>
      <c r="G90">
        <v>262662699.04364219</v>
      </c>
      <c r="H90">
        <v>24</v>
      </c>
      <c r="I90">
        <v>12</v>
      </c>
      <c r="J90">
        <v>12</v>
      </c>
      <c r="K90">
        <v>16</v>
      </c>
      <c r="L90">
        <v>8</v>
      </c>
    </row>
    <row r="91" spans="1:12">
      <c r="A91" s="1" t="s">
        <v>89</v>
      </c>
      <c r="B91" t="s">
        <v>189</v>
      </c>
      <c r="C91">
        <v>597146839.92934704</v>
      </c>
      <c r="D91">
        <v>179298828.12498251</v>
      </c>
      <c r="E91">
        <v>114727897.9480947</v>
      </c>
      <c r="F91">
        <v>128943053.5728391</v>
      </c>
      <c r="G91">
        <v>174177060.28343081</v>
      </c>
      <c r="H91">
        <v>466</v>
      </c>
      <c r="I91">
        <v>247</v>
      </c>
      <c r="J91">
        <v>219</v>
      </c>
      <c r="K91">
        <v>327</v>
      </c>
      <c r="L91">
        <v>139</v>
      </c>
    </row>
    <row r="92" spans="1:12">
      <c r="A92" s="1" t="s">
        <v>90</v>
      </c>
      <c r="B92" t="s">
        <v>190</v>
      </c>
      <c r="C92">
        <v>744862777.48097968</v>
      </c>
      <c r="D92">
        <v>233120571.12590581</v>
      </c>
      <c r="E92">
        <v>148145791.026939</v>
      </c>
      <c r="F92">
        <v>164798959.90786499</v>
      </c>
      <c r="G92">
        <v>198797455.42027</v>
      </c>
      <c r="H92">
        <v>56</v>
      </c>
      <c r="I92">
        <v>29</v>
      </c>
      <c r="J92">
        <v>27</v>
      </c>
      <c r="K92">
        <v>39</v>
      </c>
      <c r="L92">
        <v>17</v>
      </c>
    </row>
    <row r="93" spans="1:12">
      <c r="A93" s="1" t="s">
        <v>91</v>
      </c>
      <c r="B93" t="s">
        <v>191</v>
      </c>
      <c r="C93">
        <v>420296400.55278087</v>
      </c>
      <c r="D93">
        <v>112599118.1736495</v>
      </c>
      <c r="E93">
        <v>132531336.53684629</v>
      </c>
      <c r="F93">
        <v>86145053.538221836</v>
      </c>
      <c r="G93">
        <v>89020892.304063171</v>
      </c>
      <c r="H93">
        <v>237</v>
      </c>
      <c r="I93">
        <v>125</v>
      </c>
      <c r="J93">
        <v>112</v>
      </c>
      <c r="K93">
        <v>166</v>
      </c>
      <c r="L93">
        <v>71</v>
      </c>
    </row>
    <row r="94" spans="1:12">
      <c r="A94" s="1" t="s">
        <v>92</v>
      </c>
      <c r="B94" t="s">
        <v>192</v>
      </c>
      <c r="C94">
        <v>607190822.52771533</v>
      </c>
      <c r="D94">
        <v>164678290.18126309</v>
      </c>
      <c r="E94">
        <v>223468490.1837621</v>
      </c>
      <c r="F94">
        <v>115973553.2643332</v>
      </c>
      <c r="G94">
        <v>103070488.898357</v>
      </c>
      <c r="H94">
        <v>45</v>
      </c>
      <c r="I94">
        <v>23</v>
      </c>
      <c r="J94">
        <v>22</v>
      </c>
      <c r="K94">
        <v>31</v>
      </c>
      <c r="L94">
        <v>14</v>
      </c>
    </row>
    <row r="95" spans="1:12">
      <c r="A95" s="1" t="s">
        <v>93</v>
      </c>
      <c r="B95" t="s">
        <v>193</v>
      </c>
      <c r="C95">
        <v>751039272.8756398</v>
      </c>
      <c r="D95">
        <v>278491305.39639509</v>
      </c>
      <c r="E95">
        <v>200171173.54370651</v>
      </c>
      <c r="F95">
        <v>139502816.37252021</v>
      </c>
      <c r="G95">
        <v>132873977.56301799</v>
      </c>
      <c r="H95">
        <v>219</v>
      </c>
      <c r="I95">
        <v>116</v>
      </c>
      <c r="J95">
        <v>103</v>
      </c>
      <c r="K95">
        <v>154</v>
      </c>
      <c r="L95">
        <v>65</v>
      </c>
    </row>
    <row r="96" spans="1:12">
      <c r="A96" s="1" t="s">
        <v>94</v>
      </c>
      <c r="B96" t="s">
        <v>194</v>
      </c>
      <c r="C96">
        <v>503340214.16604471</v>
      </c>
      <c r="D96">
        <v>146226377.53589061</v>
      </c>
      <c r="E96">
        <v>121383668.9405289</v>
      </c>
      <c r="F96">
        <v>135012594.60000199</v>
      </c>
      <c r="G96">
        <v>100717573.0896232</v>
      </c>
      <c r="H96">
        <v>161</v>
      </c>
      <c r="I96">
        <v>85</v>
      </c>
      <c r="J96">
        <v>76</v>
      </c>
      <c r="K96">
        <v>113</v>
      </c>
      <c r="L96">
        <v>48</v>
      </c>
    </row>
    <row r="97" spans="1:12">
      <c r="A97" s="1" t="s">
        <v>95</v>
      </c>
      <c r="B97" t="s">
        <v>195</v>
      </c>
      <c r="C97">
        <v>535853435.3738749</v>
      </c>
      <c r="D97">
        <v>146167172.3088648</v>
      </c>
      <c r="E97">
        <v>141428277.86791191</v>
      </c>
      <c r="F97">
        <v>134008269.17593309</v>
      </c>
      <c r="G97">
        <v>114249716.0211651</v>
      </c>
      <c r="H97">
        <v>71</v>
      </c>
      <c r="I97">
        <v>37</v>
      </c>
      <c r="J97">
        <v>34</v>
      </c>
      <c r="K97">
        <v>49</v>
      </c>
      <c r="L97">
        <v>22</v>
      </c>
    </row>
    <row r="98" spans="1:12">
      <c r="A98" s="1" t="s">
        <v>96</v>
      </c>
      <c r="B98" t="s">
        <v>196</v>
      </c>
      <c r="C98">
        <v>687556956.01922286</v>
      </c>
      <c r="D98">
        <v>182270097.0461624</v>
      </c>
      <c r="E98">
        <v>196142385.26970881</v>
      </c>
      <c r="F98">
        <v>125851800.8608834</v>
      </c>
      <c r="G98">
        <v>183292672.8424682</v>
      </c>
      <c r="H98">
        <v>127</v>
      </c>
      <c r="I98">
        <v>67</v>
      </c>
      <c r="J98">
        <v>60</v>
      </c>
      <c r="K98">
        <v>89</v>
      </c>
      <c r="L98">
        <v>38</v>
      </c>
    </row>
    <row r="99" spans="1:12">
      <c r="A99" s="1" t="s">
        <v>97</v>
      </c>
      <c r="B99" t="s">
        <v>197</v>
      </c>
      <c r="C99">
        <v>352124277.86951154</v>
      </c>
      <c r="D99">
        <v>77413459.543398216</v>
      </c>
      <c r="E99">
        <v>108918042.89439391</v>
      </c>
      <c r="F99">
        <v>51133546.917475633</v>
      </c>
      <c r="G99">
        <v>114659228.5142438</v>
      </c>
      <c r="H99">
        <v>191</v>
      </c>
      <c r="I99">
        <v>101</v>
      </c>
      <c r="J99">
        <v>90</v>
      </c>
      <c r="K99">
        <v>134</v>
      </c>
      <c r="L99">
        <v>57</v>
      </c>
    </row>
    <row r="100" spans="1:12">
      <c r="A100" s="1" t="s">
        <v>98</v>
      </c>
      <c r="B100" t="s">
        <v>198</v>
      </c>
      <c r="C100">
        <v>83757980.329517767</v>
      </c>
      <c r="D100">
        <v>33622839.796554208</v>
      </c>
      <c r="E100">
        <v>18693805.788150571</v>
      </c>
      <c r="F100">
        <v>11730235.84535796</v>
      </c>
      <c r="G100">
        <v>19711098.89945503</v>
      </c>
      <c r="H100">
        <v>22</v>
      </c>
      <c r="I100">
        <v>11</v>
      </c>
      <c r="J100">
        <v>11</v>
      </c>
      <c r="K100">
        <v>15</v>
      </c>
      <c r="L100">
        <v>7</v>
      </c>
    </row>
    <row r="101" spans="1:12">
      <c r="A101" s="1" t="s">
        <v>99</v>
      </c>
      <c r="B101" t="s">
        <v>199</v>
      </c>
      <c r="C101">
        <v>792730594.64550614</v>
      </c>
      <c r="D101">
        <v>221203557.65846199</v>
      </c>
      <c r="E101">
        <v>237691219.29972371</v>
      </c>
      <c r="F101">
        <v>227547129.247435</v>
      </c>
      <c r="G101">
        <v>106288688.4398855</v>
      </c>
      <c r="H101">
        <v>439</v>
      </c>
      <c r="I101">
        <v>232</v>
      </c>
      <c r="J101">
        <v>207</v>
      </c>
      <c r="K101">
        <v>308</v>
      </c>
      <c r="L101">
        <v>131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Report</vt:lpstr>
      <vt:lpstr>RAW_DATA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김우현</dc:creator>
  <cp:lastModifiedBy>우현 김</cp:lastModifiedBy>
  <cp:lastPrinted>2025-02-21T15:14:36Z</cp:lastPrinted>
  <dcterms:created xsi:type="dcterms:W3CDTF">2023-10-14T09:19:32Z</dcterms:created>
  <dcterms:modified xsi:type="dcterms:W3CDTF">2025-02-21T15:33:09Z</dcterms:modified>
</cp:coreProperties>
</file>