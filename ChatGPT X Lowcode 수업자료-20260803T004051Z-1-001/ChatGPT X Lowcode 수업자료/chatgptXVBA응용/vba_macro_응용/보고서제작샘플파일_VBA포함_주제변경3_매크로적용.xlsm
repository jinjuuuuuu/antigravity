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K-Desktop\Desktop\lowcode\ChatGPT X Lowcode 수업자료-20251109T113447Z-1-001\ChatGPT X Lowcode 수업자료\chatgptXVBA응용\vba_macro_응용\"/>
    </mc:Choice>
  </mc:AlternateContent>
  <xr:revisionPtr revIDLastSave="0" documentId="8_{FC863ADB-6AB1-48F9-AC3F-BC1847AE9AD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보고서" sheetId="1" r:id="rId1"/>
    <sheet name="RAW_DATA" sheetId="2" r:id="rId2"/>
  </sheets>
  <definedNames>
    <definedName name="_xleta.RAND" hidden="1" xlm="1">#NAME?</definedName>
    <definedName name="_xlnm.Print_Area" localSheetId="0">보고서!$A$1:$E$15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7" roundtripDataChecksum="eXnjkFGOfMuWx9IQs84kcOzgstoT26GRkh97z0xkZNc="/>
    </ext>
  </extLst>
</workbook>
</file>

<file path=xl/calcChain.xml><?xml version="1.0" encoding="utf-8"?>
<calcChain xmlns="http://schemas.openxmlformats.org/spreadsheetml/2006/main">
  <c r="A1" i="1" l="1"/>
  <c r="C13" i="1"/>
  <c r="B13" i="1"/>
  <c r="C12" i="1"/>
  <c r="B12" i="1"/>
  <c r="E9" i="1"/>
  <c r="D9" i="1"/>
  <c r="C9" i="1"/>
  <c r="B9" i="1"/>
  <c r="B5" i="1"/>
  <c r="D13" i="1" l="1"/>
  <c r="C14" i="1"/>
  <c r="D12" i="1"/>
  <c r="B14" i="1"/>
  <c r="A9" i="1"/>
  <c r="D10" i="1" l="1"/>
  <c r="C10" i="1"/>
  <c r="D14" i="1"/>
</calcChain>
</file>

<file path=xl/sharedStrings.xml><?xml version="1.0" encoding="utf-8"?>
<sst xmlns="http://schemas.openxmlformats.org/spreadsheetml/2006/main" count="230" uniqueCount="225">
  <si>
    <t>회사명</t>
  </si>
  <si>
    <t>전화번호</t>
  </si>
  <si>
    <t>당해년도수익</t>
  </si>
  <si>
    <t>총합</t>
  </si>
  <si>
    <t>1분기</t>
  </si>
  <si>
    <t>2분기</t>
  </si>
  <si>
    <t>3분기</t>
  </si>
  <si>
    <t>4분기</t>
  </si>
  <si>
    <t>당해년도임직원 구성</t>
  </si>
  <si>
    <t>정규직</t>
  </si>
  <si>
    <t>계약직</t>
  </si>
  <si>
    <t>합계</t>
  </si>
  <si>
    <t>남성</t>
  </si>
  <si>
    <t>여성</t>
  </si>
  <si>
    <t>1분기수익</t>
  </si>
  <si>
    <t>2분기수익</t>
  </si>
  <si>
    <t>3분기수익</t>
  </si>
  <si>
    <t>4분기수익</t>
  </si>
  <si>
    <t>임직원수</t>
  </si>
  <si>
    <t>남자임직원수</t>
  </si>
  <si>
    <t>여자임직원수</t>
  </si>
  <si>
    <t>809-8323-6365</t>
  </si>
  <si>
    <t>809-7084-6582</t>
  </si>
  <si>
    <t>809-3975-3453</t>
  </si>
  <si>
    <t>809-3799-9732</t>
  </si>
  <si>
    <t>809-3977-5122</t>
  </si>
  <si>
    <t>809-8158-4025</t>
  </si>
  <si>
    <t>809-5081-1038</t>
  </si>
  <si>
    <t>809-8440-9373</t>
  </si>
  <si>
    <t>809-2112-1425</t>
  </si>
  <si>
    <t>809-5525-7761</t>
  </si>
  <si>
    <t>809-6723-1959</t>
  </si>
  <si>
    <t>809-9209-1906</t>
  </si>
  <si>
    <t>809-0484-3388</t>
  </si>
  <si>
    <t>809-7038-7718</t>
  </si>
  <si>
    <t>809-4704-9064</t>
  </si>
  <si>
    <t>809-2463-3785</t>
  </si>
  <si>
    <t>809-0854-7413</t>
  </si>
  <si>
    <t>809-3925-2357</t>
  </si>
  <si>
    <t>809-2716-5003</t>
  </si>
  <si>
    <t>809-1996-6788</t>
  </si>
  <si>
    <t>809-7086-8983</t>
  </si>
  <si>
    <t>809-6174-9208</t>
  </si>
  <si>
    <t>809-2784-4176</t>
  </si>
  <si>
    <t>809-9415-9713</t>
  </si>
  <si>
    <t>809-5736-6791</t>
  </si>
  <si>
    <t>809-9603-8414</t>
  </si>
  <si>
    <t>809-5031-4440</t>
  </si>
  <si>
    <t>809-0846-9332</t>
  </si>
  <si>
    <t>809-1213-4110</t>
  </si>
  <si>
    <t>809-7843-5632</t>
  </si>
  <si>
    <t>809-9814-0839</t>
  </si>
  <si>
    <t>809-5517-8647</t>
  </si>
  <si>
    <t>809-3536-4730</t>
  </si>
  <si>
    <t>809-5937-5580</t>
  </si>
  <si>
    <t>809-8369-3270</t>
  </si>
  <si>
    <t>809-3036-1929</t>
  </si>
  <si>
    <t>809-4913-2497</t>
  </si>
  <si>
    <t>809-4941-2723</t>
  </si>
  <si>
    <t>809-9766-2360</t>
  </si>
  <si>
    <t>809-8076-5965</t>
  </si>
  <si>
    <t>809-2719-2256</t>
  </si>
  <si>
    <t>809-4221-0902</t>
  </si>
  <si>
    <t>809-8308-8105</t>
  </si>
  <si>
    <t>809-8235-3864</t>
  </si>
  <si>
    <t>809-6362-6559</t>
  </si>
  <si>
    <t>809-4651-3389</t>
  </si>
  <si>
    <t>809-5560-9751</t>
  </si>
  <si>
    <t>809-5668-7532</t>
  </si>
  <si>
    <t>809-9932-5415</t>
  </si>
  <si>
    <t>809-8358-4178</t>
  </si>
  <si>
    <t>809-1211-7504</t>
  </si>
  <si>
    <t>809-1166-0237</t>
  </si>
  <si>
    <t>809-9249-0692</t>
  </si>
  <si>
    <t>809-4730-5402</t>
  </si>
  <si>
    <t>809-3171-3417</t>
  </si>
  <si>
    <t>809-4027-4026</t>
  </si>
  <si>
    <t>809-9249-9544</t>
  </si>
  <si>
    <t>809-9815-7013</t>
  </si>
  <si>
    <t>809-9282-4829</t>
  </si>
  <si>
    <t>809-8782-3360</t>
  </si>
  <si>
    <t>809-3639-6322</t>
  </si>
  <si>
    <t>809-2646-0492</t>
  </si>
  <si>
    <t>809-1617-5616</t>
  </si>
  <si>
    <t>809-6662-5223</t>
  </si>
  <si>
    <t>809-2938-5451</t>
  </si>
  <si>
    <t>809-5829-9564</t>
  </si>
  <si>
    <t>809-0855-5100</t>
  </si>
  <si>
    <t>809-0007-6354</t>
  </si>
  <si>
    <t>809-3451-3674</t>
  </si>
  <si>
    <t>809-0073-3009</t>
  </si>
  <si>
    <t>809-4458-8015</t>
  </si>
  <si>
    <t>809-9961-4047</t>
  </si>
  <si>
    <t>809-7762-6027</t>
  </si>
  <si>
    <t>809-7261-3705</t>
  </si>
  <si>
    <t>809-4553-8015</t>
  </si>
  <si>
    <t>809-4150-6886</t>
  </si>
  <si>
    <t>809-3443-6598</t>
  </si>
  <si>
    <t>809-1381-5803</t>
  </si>
  <si>
    <t>809-7178-0759</t>
  </si>
  <si>
    <t>809-9687-5910</t>
  </si>
  <si>
    <t>809-0563-6177</t>
  </si>
  <si>
    <t>809-0760-4275</t>
  </si>
  <si>
    <t>809-2856-6415</t>
  </si>
  <si>
    <t>809-4556-3814</t>
  </si>
  <si>
    <t>809-2974-1823</t>
  </si>
  <si>
    <t>809-3416-2549</t>
  </si>
  <si>
    <t>809-1594-5744</t>
  </si>
  <si>
    <t>809-2213-0191</t>
  </si>
  <si>
    <t>809-6986-3073</t>
  </si>
  <si>
    <t>809-2597-3476</t>
  </si>
  <si>
    <t>809-7369-3713</t>
  </si>
  <si>
    <t>809-7884-5369</t>
  </si>
  <si>
    <t>809-6293-5790</t>
  </si>
  <si>
    <t>809-7125-0589</t>
  </si>
  <si>
    <t>809-8253-1738</t>
  </si>
  <si>
    <t>809-5519-7210</t>
  </si>
  <si>
    <t>809-1011-6883</t>
  </si>
  <si>
    <t>809-2074-6053</t>
  </si>
  <si>
    <t>809-3949-0653</t>
  </si>
  <si>
    <t>809-0012-0229</t>
  </si>
  <si>
    <t>기업명1</t>
    <phoneticPr fontId="6" type="noConversion"/>
  </si>
  <si>
    <t>기업명2</t>
    <phoneticPr fontId="6" type="noConversion"/>
  </si>
  <si>
    <t>기업명3</t>
  </si>
  <si>
    <t>기업명4</t>
  </si>
  <si>
    <t>기업명5</t>
  </si>
  <si>
    <t>기업명6</t>
  </si>
  <si>
    <t>기업명7</t>
  </si>
  <si>
    <t>기업명8</t>
  </si>
  <si>
    <t>기업명9</t>
  </si>
  <si>
    <t>기업명10</t>
  </si>
  <si>
    <t>기업명11</t>
  </si>
  <si>
    <t>기업명12</t>
  </si>
  <si>
    <t>기업명13</t>
  </si>
  <si>
    <t>기업명14</t>
  </si>
  <si>
    <t>기업명15</t>
  </si>
  <si>
    <t>기업명16</t>
  </si>
  <si>
    <t>기업명17</t>
  </si>
  <si>
    <t>기업명18</t>
  </si>
  <si>
    <t>기업명19</t>
  </si>
  <si>
    <t>기업명20</t>
  </si>
  <si>
    <t>기업명21</t>
  </si>
  <si>
    <t>기업명22</t>
  </si>
  <si>
    <t>기업명23</t>
  </si>
  <si>
    <t>기업명24</t>
  </si>
  <si>
    <t>기업명25</t>
  </si>
  <si>
    <t>기업명26</t>
  </si>
  <si>
    <t>기업명27</t>
  </si>
  <si>
    <t>기업명28</t>
  </si>
  <si>
    <t>기업명29</t>
  </si>
  <si>
    <t>기업명30</t>
  </si>
  <si>
    <t>기업명31</t>
  </si>
  <si>
    <t>기업명32</t>
  </si>
  <si>
    <t>기업명33</t>
  </si>
  <si>
    <t>기업명34</t>
  </si>
  <si>
    <t>기업명35</t>
  </si>
  <si>
    <t>기업명36</t>
  </si>
  <si>
    <t>기업명37</t>
  </si>
  <si>
    <t>기업명38</t>
  </si>
  <si>
    <t>기업명39</t>
  </si>
  <si>
    <t>기업명40</t>
  </si>
  <si>
    <t>기업명41</t>
  </si>
  <si>
    <t>기업명42</t>
  </si>
  <si>
    <t>기업명43</t>
  </si>
  <si>
    <t>기업명44</t>
  </si>
  <si>
    <t>기업명45</t>
  </si>
  <si>
    <t>기업명46</t>
  </si>
  <si>
    <t>기업명47</t>
  </si>
  <si>
    <t>기업명48</t>
  </si>
  <si>
    <t>기업명49</t>
  </si>
  <si>
    <t>기업명50</t>
  </si>
  <si>
    <t>기업명51</t>
  </si>
  <si>
    <t>기업명52</t>
  </si>
  <si>
    <t>기업명53</t>
  </si>
  <si>
    <t>기업명54</t>
  </si>
  <si>
    <t>기업명55</t>
  </si>
  <si>
    <t>기업명56</t>
  </si>
  <si>
    <t>기업명57</t>
  </si>
  <si>
    <t>기업명58</t>
  </si>
  <si>
    <t>기업명59</t>
  </si>
  <si>
    <t>기업명60</t>
  </si>
  <si>
    <t>기업명61</t>
  </si>
  <si>
    <t>기업명62</t>
  </si>
  <si>
    <t>기업명63</t>
  </si>
  <si>
    <t>기업명64</t>
  </si>
  <si>
    <t>기업명65</t>
  </si>
  <si>
    <t>기업명66</t>
  </si>
  <si>
    <t>기업명67</t>
  </si>
  <si>
    <t>기업명68</t>
  </si>
  <si>
    <t>기업명69</t>
  </si>
  <si>
    <t>기업명70</t>
  </si>
  <si>
    <t>기업명71</t>
  </si>
  <si>
    <t>기업명72</t>
  </si>
  <si>
    <t>기업명73</t>
  </si>
  <si>
    <t>기업명74</t>
  </si>
  <si>
    <t>기업명75</t>
  </si>
  <si>
    <t>기업명76</t>
  </si>
  <si>
    <t>기업명77</t>
  </si>
  <si>
    <t>기업명78</t>
  </si>
  <si>
    <t>기업명79</t>
  </si>
  <si>
    <t>기업명80</t>
  </si>
  <si>
    <t>기업명81</t>
  </si>
  <si>
    <t>기업명82</t>
  </si>
  <si>
    <t>기업명83</t>
  </si>
  <si>
    <t>기업명84</t>
  </si>
  <si>
    <t>기업명85</t>
  </si>
  <si>
    <t>기업명86</t>
  </si>
  <si>
    <t>기업명87</t>
  </si>
  <si>
    <t>기업명88</t>
  </si>
  <si>
    <t>기업명89</t>
  </si>
  <si>
    <t>기업명90</t>
  </si>
  <si>
    <t>기업명91</t>
  </si>
  <si>
    <t>기업명92</t>
  </si>
  <si>
    <t>기업명93</t>
  </si>
  <si>
    <t>기업명94</t>
  </si>
  <si>
    <t>기업명95</t>
  </si>
  <si>
    <t>기업명96</t>
  </si>
  <si>
    <t>기업명97</t>
  </si>
  <si>
    <t>기업명98</t>
  </si>
  <si>
    <t>기업명99</t>
  </si>
  <si>
    <t>기업명100</t>
  </si>
  <si>
    <t>남자_정규직수</t>
    <phoneticPr fontId="6" type="noConversion"/>
  </si>
  <si>
    <t>남자_계약직수</t>
    <phoneticPr fontId="6" type="noConversion"/>
  </si>
  <si>
    <t>여자_계약직수</t>
    <phoneticPr fontId="6" type="noConversion"/>
  </si>
  <si>
    <t>여자_정규직수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</si>
</sst>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-* #,##0_-;\-* #,##0_-;_-* &quot;-&quot;_-;_-@"/>
  </numFmts>
  <fonts count="9">
    <font>
      <sz val="11"/>
      <color theme="1"/>
      <name val="Calibri"/>
      <scheme val="minor"/>
    </font>
    <font>
      <sz val="11"/>
      <color theme="1"/>
      <name val="Malgun Gothic"/>
      <family val="3"/>
      <charset val="129"/>
    </font>
    <font>
      <b/>
      <sz val="11"/>
      <color theme="1"/>
      <name val="Malgun Gothic"/>
      <family val="3"/>
      <charset val="129"/>
    </font>
    <font>
      <sz val="11"/>
      <color theme="0"/>
      <name val="Malgun Gothic"/>
      <family val="3"/>
      <charset val="129"/>
    </font>
    <font>
      <b/>
      <sz val="11"/>
      <color theme="0"/>
      <name val="Malgun Gothic"/>
      <family val="3"/>
      <charset val="129"/>
    </font>
    <font>
      <sz val="11"/>
      <color theme="1"/>
      <name val="Calibri"/>
      <scheme val="minor"/>
    </font>
    <font>
      <sz val="8"/>
      <name val="Calibri"/>
      <family val="3"/>
      <charset val="129"/>
      <scheme val="minor"/>
    </font>
    <font>
      <sz val="11"/>
      <color theme="1"/>
      <name val="Calibri"/>
      <family val="2"/>
      <scheme val="minor"/>
    </font>
    <font>
      <b/>
      <sz val="18"/>
      <color theme="1"/>
      <name val="Malgun Gothic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rgb="FFF2DBDB"/>
        <bgColor rgb="FFF2DBDB"/>
      </patternFill>
    </fill>
    <fill>
      <patternFill patternType="solid">
        <fgColor rgb="FF548DD4"/>
        <bgColor rgb="FF548DD4"/>
      </patternFill>
    </fill>
    <fill>
      <patternFill patternType="solid">
        <fgColor rgb="FF953734"/>
        <bgColor rgb="FF953734"/>
      </patternFill>
    </fill>
    <fill>
      <patternFill patternType="solid">
        <fgColor theme="1"/>
        <bgColor theme="1"/>
      </patternFill>
    </fill>
  </fills>
  <borders count="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top"/>
    </xf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176" fontId="1" fillId="0" borderId="1" xfId="0" applyNumberFormat="1" applyFont="1" applyBorder="1" applyAlignment="1">
      <alignment horizontal="center"/>
    </xf>
    <xf numFmtId="176" fontId="2" fillId="0" borderId="1" xfId="0" applyNumberFormat="1" applyFont="1" applyBorder="1" applyAlignment="1">
      <alignment horizontal="center"/>
    </xf>
    <xf numFmtId="0" fontId="3" fillId="0" borderId="0" xfId="0" applyFont="1"/>
    <xf numFmtId="0" fontId="1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top"/>
    </xf>
    <xf numFmtId="0" fontId="3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5" fillId="0" borderId="0" xfId="0" applyFont="1"/>
    <xf numFmtId="0" fontId="2" fillId="0" borderId="1" xfId="0" applyFont="1" applyBorder="1" applyAlignment="1">
      <alignment horizontal="center" vertical="top"/>
    </xf>
    <xf numFmtId="0" fontId="7" fillId="0" borderId="0" xfId="0" applyFont="1"/>
    <xf numFmtId="0" fontId="8" fillId="0" borderId="0" xfId="0" applyFont="1" applyAlignment="1">
      <alignment horizontal="left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calcChain" Target="calcChain.xml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887"/>
  <sheetViews>
    <sheetView tabSelected="1" zoomScaleNormal="100" workbookViewId="0">
      <selection activeCell="I9" sqref="I9"/>
    </sheetView>
  </sheetViews>
  <sheetFormatPr defaultColWidth="14.42578125" defaultRowHeight="15" customHeight="1"/>
  <cols>
    <col min="1" max="5" width="20.5703125" customWidth="1"/>
    <col min="6" max="26" width="8.7109375" customWidth="1"/>
  </cols>
  <sheetData>
    <row r="1" spans="1:8" s="23" customFormat="1" ht="16.5" customHeight="1">
      <c r="A1" s="24" t="str">
        <f>CONCATENATE("▣ 2026년 ",B4,"社 현황 보고서")</f>
        <v>▣ 2026년 기업명1社 현황 보고서</v>
      </c>
      <c r="B1" s="24"/>
      <c r="C1" s="24"/>
      <c r="D1" s="24"/>
      <c r="E1" s="24"/>
    </row>
    <row r="2" spans="1:8" s="23" customFormat="1" ht="16.5" customHeight="1">
      <c r="A2" s="24"/>
      <c r="B2" s="24"/>
      <c r="C2" s="24"/>
      <c r="D2" s="24"/>
      <c r="E2" s="24"/>
    </row>
    <row r="3" spans="1:8"/>
    <row r="4" spans="1:8" ht="16.5" customHeight="1">
      <c r="A4" s="1" t="s">
        <v>0</v>
      </c>
      <c r="B4" s="2" t="s">
        <v>121</v>
      </c>
      <c r="C4" s="3"/>
      <c r="D4" s="3"/>
      <c r="E4" s="3"/>
    </row>
    <row r="5" spans="1:8" ht="16.5" customHeight="1">
      <c r="A5" s="4" t="s">
        <v>1</v>
      </c>
      <c r="B5" s="5" t="str">
        <f>VLOOKUP(B4,RAW_DATA!$A$2:$K$101,2,0)</f>
        <v>809-8323-6365</v>
      </c>
      <c r="C5" s="3"/>
      <c r="D5" s="3"/>
      <c r="E5" s="3"/>
    </row>
    <row r="6" spans="1:8" ht="16.5" customHeight="1">
      <c r="A6" s="3"/>
      <c r="B6" s="3"/>
      <c r="C6" s="3"/>
      <c r="D6" s="3"/>
      <c r="E6" s="3"/>
    </row>
    <row r="7" spans="1:8" ht="16.5" customHeight="1">
      <c r="A7" s="6" t="s">
        <v>2</v>
      </c>
      <c r="B7" s="7"/>
      <c r="C7" s="7"/>
      <c r="D7" s="7"/>
      <c r="E7" s="8"/>
    </row>
    <row r="8" spans="1:8" ht="16.5" customHeight="1">
      <c r="A8" s="9" t="s">
        <v>3</v>
      </c>
      <c r="B8" s="1" t="s">
        <v>4</v>
      </c>
      <c r="C8" s="1" t="s">
        <v>5</v>
      </c>
      <c r="D8" s="1" t="s">
        <v>6</v>
      </c>
      <c r="E8" s="1" t="s">
        <v>7</v>
      </c>
    </row>
    <row r="9" spans="1:8" ht="16.5" customHeight="1">
      <c r="A9" s="10">
        <f>SUM(B9:E9)</f>
        <v>240141667.52084714</v>
      </c>
      <c r="B9" s="11">
        <f>VLOOKUP(B4,RAW_DATA!$A$2:$K$101,4,0)</f>
        <v>56704058.359199136</v>
      </c>
      <c r="C9" s="11">
        <f>VLOOKUP(B4,RAW_DATA!$A$2:$K$101,5,0)</f>
        <v>40666865.388532102</v>
      </c>
      <c r="D9" s="11">
        <f>VLOOKUP(B4,RAW_DATA!$A$2:$K$101,6,0)</f>
        <v>86181246.403695479</v>
      </c>
      <c r="E9" s="11">
        <f>VLOOKUP(B4,RAW_DATA!$A$2:$K$101,7,0)</f>
        <v>56589497.369420417</v>
      </c>
    </row>
    <row r="10" spans="1:8" ht="16.5" customHeight="1">
      <c r="B10" s="12"/>
      <c r="C10" s="12">
        <f>MIN(D12,B14)</f>
        <v>178</v>
      </c>
      <c r="D10" s="12">
        <f>MAX(0,B14-D13)</f>
        <v>55</v>
      </c>
    </row>
    <row r="11" spans="1:8" ht="16.5" customHeight="1">
      <c r="A11" s="13" t="s">
        <v>8</v>
      </c>
      <c r="B11" s="13" t="s">
        <v>9</v>
      </c>
      <c r="C11" s="13" t="s">
        <v>10</v>
      </c>
      <c r="D11" s="13" t="s">
        <v>11</v>
      </c>
      <c r="E11" s="14"/>
      <c r="F11" s="14"/>
      <c r="G11" s="14"/>
      <c r="H11" s="14"/>
    </row>
    <row r="12" spans="1:8" ht="16.5" customHeight="1">
      <c r="A12" s="15" t="s">
        <v>12</v>
      </c>
      <c r="B12" s="15">
        <f>VLOOKUP(B4,RAW_DATA!$A$1:$N$101,10,0)</f>
        <v>88</v>
      </c>
      <c r="C12" s="15">
        <f>VLOOKUP(B4,RAW_DATA!$A$1:$N$101,11,0)</f>
        <v>90</v>
      </c>
      <c r="D12" s="16">
        <f>SUM(B12:C12)</f>
        <v>178</v>
      </c>
    </row>
    <row r="13" spans="1:8" ht="16.5" customHeight="1">
      <c r="A13" s="17" t="s">
        <v>13</v>
      </c>
      <c r="B13" s="17">
        <f>VLOOKUP(B4,RAW_DATA!$A$1:$N$101,13,0)</f>
        <v>126</v>
      </c>
      <c r="C13" s="17">
        <f>VLOOKUP(B4,RAW_DATA!$A$1:$N$101,14,0)</f>
        <v>33</v>
      </c>
      <c r="D13" s="18">
        <f>SUM(B13:C13)</f>
        <v>159</v>
      </c>
    </row>
    <row r="14" spans="1:8" ht="16.5" customHeight="1">
      <c r="A14" s="19" t="s">
        <v>11</v>
      </c>
      <c r="B14" s="20">
        <f>B12+B13</f>
        <v>214</v>
      </c>
      <c r="C14" s="20">
        <f t="shared" ref="C14:D14" si="0">C12+C13</f>
        <v>123</v>
      </c>
      <c r="D14" s="19">
        <f t="shared" si="0"/>
        <v>337</v>
      </c>
    </row>
    <row r="15" spans="1:8" ht="16.5" customHeight="1"/>
    <row r="16" spans="1:8" ht="16.5" customHeight="1"/>
    <row r="17" ht="16.5" customHeight="1"/>
    <row r="18" ht="16.5" customHeight="1"/>
    <row r="19" ht="16.5" customHeight="1"/>
    <row r="20" ht="16.5" customHeight="1"/>
    <row r="21" ht="16.5" customHeight="1"/>
    <row r="22" ht="16.5" customHeight="1"/>
    <row r="23" ht="16.5" customHeight="1"/>
    <row r="24" ht="16.5" customHeight="1"/>
    <row r="25" ht="16.5" customHeight="1"/>
    <row r="26" ht="16.5" customHeight="1"/>
    <row r="27" ht="16.5" customHeight="1"/>
    <row r="28" ht="16.5" customHeight="1"/>
    <row r="29" ht="16.5" customHeight="1"/>
    <row r="30" ht="16.5" customHeight="1"/>
    <row r="31" ht="16.5" customHeight="1"/>
    <row r="32" ht="16.5" customHeight="1"/>
    <row r="33" ht="16.5" customHeight="1"/>
    <row r="34" ht="16.5" customHeight="1"/>
    <row r="35" ht="16.5" customHeight="1"/>
    <row r="36" ht="16.5" customHeight="1"/>
    <row r="37" ht="16.5" customHeight="1"/>
    <row r="38" ht="16.5" customHeight="1"/>
    <row r="39" ht="16.5" customHeight="1"/>
    <row r="40" ht="16.5" customHeight="1"/>
    <row r="41" ht="16.5" customHeight="1"/>
    <row r="42" ht="16.5" customHeight="1"/>
    <row r="43" ht="16.5" customHeight="1"/>
    <row r="44" ht="16.5" customHeight="1"/>
    <row r="45" ht="16.5" customHeight="1"/>
    <row r="46" ht="16.5" customHeight="1"/>
    <row r="47" ht="16.5" customHeight="1"/>
    <row r="48" ht="16.5" customHeight="1"/>
    <row r="49" ht="16.5" customHeight="1"/>
    <row r="50" ht="16.5" customHeight="1"/>
    <row r="51" ht="16.5" customHeight="1"/>
    <row r="52" ht="16.5" customHeight="1"/>
    <row r="53" ht="16.5" customHeight="1"/>
    <row r="54" ht="16.5" customHeight="1"/>
    <row r="55" ht="16.5" customHeight="1"/>
    <row r="56" ht="16.5" customHeight="1"/>
    <row r="57" ht="16.5" customHeight="1"/>
    <row r="58" ht="16.5" customHeight="1"/>
    <row r="59" ht="16.5" customHeight="1"/>
    <row r="60" ht="16.5" customHeight="1"/>
    <row r="61" ht="16.5" customHeight="1"/>
    <row r="62" ht="16.5" customHeight="1"/>
    <row r="63" ht="16.5" customHeight="1"/>
    <row r="6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  <row r="109" ht="16.5" customHeight="1"/>
    <row r="110" ht="16.5" customHeight="1"/>
    <row r="111" ht="16.5" customHeight="1"/>
    <row r="1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  <row r="201" ht="16.5" customHeight="1"/>
    <row r="202" ht="16.5" customHeight="1"/>
    <row r="203" ht="16.5" customHeight="1"/>
    <row r="204" ht="16.5" customHeight="1"/>
    <row r="205" ht="16.5" customHeight="1"/>
    <row r="206" ht="16.5" customHeight="1"/>
    <row r="207" ht="16.5" customHeight="1"/>
    <row r="208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6.5" customHeight="1"/>
    <row r="249" ht="16.5" customHeight="1"/>
    <row r="250" ht="16.5" customHeight="1"/>
    <row r="251" ht="16.5" customHeight="1"/>
    <row r="252" ht="16.5" customHeight="1"/>
    <row r="253" ht="16.5" customHeight="1"/>
    <row r="254" ht="16.5" customHeight="1"/>
    <row r="255" ht="16.5" customHeight="1"/>
    <row r="256" ht="16.5" customHeight="1"/>
    <row r="257" ht="16.5" customHeight="1"/>
    <row r="258" ht="16.5" customHeight="1"/>
    <row r="259" ht="16.5" customHeight="1"/>
    <row r="260" ht="16.5" customHeight="1"/>
    <row r="261" ht="16.5" customHeight="1"/>
    <row r="262" ht="16.5" customHeight="1"/>
    <row r="263" ht="16.5" customHeight="1"/>
    <row r="264" ht="16.5" customHeight="1"/>
    <row r="265" ht="16.5" customHeight="1"/>
    <row r="266" ht="16.5" customHeight="1"/>
    <row r="267" ht="16.5" customHeight="1"/>
    <row r="268" ht="16.5" customHeight="1"/>
    <row r="269" ht="16.5" customHeight="1"/>
    <row r="270" ht="16.5" customHeight="1"/>
    <row r="271" ht="16.5" customHeight="1"/>
    <row r="272" ht="16.5" customHeight="1"/>
    <row r="273" ht="16.5" customHeight="1"/>
    <row r="274" ht="16.5" customHeight="1"/>
    <row r="275" ht="16.5" customHeight="1"/>
    <row r="276" ht="16.5" customHeight="1"/>
    <row r="277" ht="16.5" customHeight="1"/>
    <row r="278" ht="16.5" customHeight="1"/>
    <row r="279" ht="16.5" customHeight="1"/>
    <row r="280" ht="16.5" customHeight="1"/>
    <row r="281" ht="16.5" customHeight="1"/>
    <row r="282" ht="16.5" customHeight="1"/>
    <row r="283" ht="16.5" customHeight="1"/>
    <row r="284" ht="16.5" customHeight="1"/>
    <row r="285" ht="16.5" customHeight="1"/>
    <row r="286" ht="16.5" customHeight="1"/>
    <row r="287" ht="16.5" customHeight="1"/>
    <row r="288" ht="16.5" customHeight="1"/>
    <row r="289" ht="16.5" customHeight="1"/>
    <row r="290" ht="16.5" customHeight="1"/>
    <row r="291" ht="16.5" customHeight="1"/>
    <row r="292" ht="16.5" customHeight="1"/>
    <row r="293" ht="16.5" customHeight="1"/>
    <row r="294" ht="16.5" customHeight="1"/>
    <row r="295" ht="16.5" customHeight="1"/>
    <row r="296" ht="16.5" customHeight="1"/>
    <row r="297" ht="16.5" customHeight="1"/>
    <row r="298" ht="16.5" customHeight="1"/>
    <row r="299" ht="16.5" customHeight="1"/>
    <row r="300" ht="16.5" customHeight="1"/>
    <row r="301" ht="16.5" customHeight="1"/>
    <row r="302" ht="16.5" customHeight="1"/>
    <row r="303" ht="16.5" customHeight="1"/>
    <row r="304" ht="16.5" customHeight="1"/>
    <row r="305" ht="16.5" customHeight="1"/>
    <row r="306" ht="16.5" customHeight="1"/>
    <row r="307" ht="16.5" customHeight="1"/>
    <row r="308" ht="16.5" customHeight="1"/>
    <row r="309" ht="16.5" customHeight="1"/>
    <row r="310" ht="16.5" customHeight="1"/>
    <row r="311" ht="16.5" customHeight="1"/>
    <row r="312" ht="16.5" customHeight="1"/>
    <row r="313" ht="16.5" customHeight="1"/>
    <row r="314" ht="16.5" customHeight="1"/>
    <row r="315" ht="16.5" customHeight="1"/>
    <row r="316" ht="16.5" customHeight="1"/>
    <row r="317" ht="16.5" customHeight="1"/>
    <row r="318" ht="16.5" customHeight="1"/>
    <row r="319" ht="16.5" customHeight="1"/>
    <row r="320" ht="16.5" customHeight="1"/>
    <row r="321" ht="16.5" customHeight="1"/>
    <row r="322" ht="16.5" customHeight="1"/>
    <row r="323" ht="16.5" customHeight="1"/>
    <row r="324" ht="16.5" customHeight="1"/>
    <row r="325" ht="16.5" customHeight="1"/>
    <row r="326" ht="16.5" customHeight="1"/>
    <row r="327" ht="16.5" customHeight="1"/>
    <row r="328" ht="16.5" customHeight="1"/>
    <row r="329" ht="16.5" customHeight="1"/>
    <row r="330" ht="16.5" customHeight="1"/>
    <row r="331" ht="16.5" customHeight="1"/>
    <row r="332" ht="16.5" customHeight="1"/>
    <row r="333" ht="16.5" customHeight="1"/>
    <row r="334" ht="16.5" customHeight="1"/>
    <row r="335" ht="16.5" customHeight="1"/>
    <row r="336" ht="16.5" customHeight="1"/>
    <row r="337" ht="16.5" customHeight="1"/>
    <row r="338" ht="16.5" customHeight="1"/>
    <row r="339" ht="16.5" customHeight="1"/>
    <row r="340" ht="16.5" customHeight="1"/>
    <row r="341" ht="16.5" customHeight="1"/>
    <row r="342" ht="16.5" customHeight="1"/>
    <row r="343" ht="16.5" customHeight="1"/>
    <row r="344" ht="16.5" customHeight="1"/>
    <row r="345" ht="16.5" customHeight="1"/>
    <row r="346" ht="16.5" customHeight="1"/>
    <row r="347" ht="16.5" customHeight="1"/>
    <row r="348" ht="16.5" customHeight="1"/>
    <row r="349" ht="16.5" customHeight="1"/>
    <row r="350" ht="16.5" customHeight="1"/>
    <row r="351" ht="16.5" customHeight="1"/>
    <row r="352" ht="16.5" customHeight="1"/>
    <row r="353" ht="16.5" customHeight="1"/>
    <row r="354" ht="16.5" customHeight="1"/>
    <row r="355" ht="16.5" customHeight="1"/>
    <row r="356" ht="16.5" customHeight="1"/>
    <row r="357" ht="16.5" customHeight="1"/>
    <row r="358" ht="16.5" customHeight="1"/>
    <row r="359" ht="16.5" customHeight="1"/>
    <row r="360" ht="16.5" customHeight="1"/>
    <row r="361" ht="16.5" customHeight="1"/>
    <row r="362" ht="16.5" customHeight="1"/>
    <row r="363" ht="16.5" customHeight="1"/>
    <row r="364" ht="16.5" customHeight="1"/>
    <row r="365" ht="16.5" customHeight="1"/>
    <row r="366" ht="16.5" customHeight="1"/>
    <row r="367" ht="16.5" customHeight="1"/>
    <row r="368" ht="16.5" customHeight="1"/>
    <row r="369" ht="16.5" customHeight="1"/>
    <row r="370" ht="16.5" customHeight="1"/>
    <row r="371" ht="16.5" customHeight="1"/>
    <row r="372" ht="16.5" customHeight="1"/>
    <row r="373" ht="16.5" customHeight="1"/>
    <row r="374" ht="16.5" customHeight="1"/>
    <row r="375" ht="16.5" customHeight="1"/>
    <row r="376" ht="16.5" customHeight="1"/>
    <row r="377" ht="16.5" customHeight="1"/>
    <row r="378" ht="16.5" customHeight="1"/>
    <row r="379" ht="16.5" customHeight="1"/>
    <row r="380" ht="16.5" customHeight="1"/>
    <row r="381" ht="16.5" customHeight="1"/>
    <row r="382" ht="16.5" customHeight="1"/>
    <row r="383" ht="16.5" customHeight="1"/>
    <row r="384" ht="16.5" customHeight="1"/>
    <row r="385" ht="16.5" customHeight="1"/>
    <row r="386" ht="16.5" customHeight="1"/>
    <row r="387" ht="16.5" customHeight="1"/>
    <row r="388" ht="16.5" customHeight="1"/>
    <row r="389" ht="16.5" customHeight="1"/>
    <row r="390" ht="16.5" customHeight="1"/>
    <row r="391" ht="16.5" customHeight="1"/>
    <row r="392" ht="16.5" customHeight="1"/>
    <row r="393" ht="16.5" customHeight="1"/>
    <row r="394" ht="16.5" customHeight="1"/>
    <row r="395" ht="16.5" customHeight="1"/>
    <row r="396" ht="16.5" customHeight="1"/>
    <row r="397" ht="16.5" customHeight="1"/>
    <row r="398" ht="16.5" customHeight="1"/>
    <row r="399" ht="16.5" customHeight="1"/>
    <row r="400" ht="16.5" customHeight="1"/>
    <row r="401" ht="16.5" customHeight="1"/>
    <row r="402" ht="16.5" customHeight="1"/>
    <row r="403" ht="16.5" customHeight="1"/>
    <row r="404" ht="16.5" customHeight="1"/>
    <row r="405" ht="16.5" customHeight="1"/>
    <row r="406" ht="16.5" customHeight="1"/>
    <row r="407" ht="16.5" customHeight="1"/>
    <row r="408" ht="16.5" customHeight="1"/>
    <row r="409" ht="16.5" customHeight="1"/>
    <row r="410" ht="16.5" customHeight="1"/>
    <row r="411" ht="16.5" customHeight="1"/>
    <row r="412" ht="16.5" customHeight="1"/>
    <row r="413" ht="16.5" customHeight="1"/>
    <row r="414" ht="16.5" customHeight="1"/>
    <row r="415" ht="16.5" customHeight="1"/>
    <row r="416" ht="16.5" customHeight="1"/>
    <row r="417" ht="16.5" customHeight="1"/>
    <row r="418" ht="16.5" customHeight="1"/>
    <row r="419" ht="16.5" customHeight="1"/>
    <row r="420" ht="16.5" customHeight="1"/>
    <row r="421" ht="16.5" customHeight="1"/>
    <row r="422" ht="16.5" customHeight="1"/>
    <row r="423" ht="16.5" customHeight="1"/>
    <row r="424" ht="16.5" customHeight="1"/>
    <row r="425" ht="16.5" customHeight="1"/>
    <row r="426" ht="16.5" customHeight="1"/>
    <row r="427" ht="16.5" customHeight="1"/>
    <row r="428" ht="16.5" customHeight="1"/>
    <row r="429" ht="16.5" customHeight="1"/>
    <row r="430" ht="16.5" customHeight="1"/>
    <row r="431" ht="16.5" customHeight="1"/>
    <row r="432" ht="16.5" customHeight="1"/>
    <row r="433" ht="16.5" customHeight="1"/>
    <row r="434" ht="16.5" customHeight="1"/>
    <row r="435" ht="16.5" customHeight="1"/>
    <row r="436" ht="16.5" customHeight="1"/>
    <row r="437" ht="16.5" customHeight="1"/>
    <row r="438" ht="16.5" customHeight="1"/>
    <row r="439" ht="16.5" customHeight="1"/>
    <row r="440" ht="16.5" customHeight="1"/>
    <row r="441" ht="16.5" customHeight="1"/>
    <row r="442" ht="16.5" customHeight="1"/>
    <row r="443" ht="16.5" customHeight="1"/>
    <row r="444" ht="16.5" customHeight="1"/>
    <row r="445" ht="16.5" customHeight="1"/>
    <row r="446" ht="16.5" customHeight="1"/>
    <row r="447" ht="16.5" customHeight="1"/>
    <row r="448" ht="16.5" customHeight="1"/>
    <row r="449" ht="16.5" customHeight="1"/>
    <row r="450" ht="16.5" customHeight="1"/>
    <row r="451" ht="16.5" customHeight="1"/>
    <row r="452" ht="16.5" customHeight="1"/>
    <row r="453" ht="16.5" customHeight="1"/>
    <row r="454" ht="16.5" customHeight="1"/>
    <row r="455" ht="16.5" customHeight="1"/>
    <row r="456" ht="16.5" customHeight="1"/>
    <row r="457" ht="16.5" customHeight="1"/>
    <row r="458" ht="16.5" customHeight="1"/>
    <row r="459" ht="16.5" customHeight="1"/>
    <row r="460" ht="16.5" customHeight="1"/>
    <row r="461" ht="16.5" customHeight="1"/>
    <row r="462" ht="16.5" customHeight="1"/>
    <row r="463" ht="16.5" customHeight="1"/>
    <row r="464" ht="16.5" customHeight="1"/>
    <row r="465" ht="16.5" customHeight="1"/>
    <row r="466" ht="16.5" customHeight="1"/>
    <row r="467" ht="16.5" customHeight="1"/>
    <row r="468" ht="16.5" customHeight="1"/>
    <row r="469" ht="16.5" customHeight="1"/>
    <row r="470" ht="16.5" customHeight="1"/>
    <row r="471" ht="16.5" customHeight="1"/>
    <row r="472" ht="16.5" customHeight="1"/>
    <row r="473" ht="16.5" customHeight="1"/>
    <row r="474" ht="16.5" customHeight="1"/>
    <row r="475" ht="16.5" customHeight="1"/>
    <row r="476" ht="16.5" customHeight="1"/>
    <row r="477" ht="16.5" customHeight="1"/>
    <row r="478" ht="16.5" customHeight="1"/>
    <row r="479" ht="16.5" customHeight="1"/>
    <row r="480" ht="16.5" customHeight="1"/>
    <row r="481" ht="16.5" customHeight="1"/>
    <row r="482" ht="16.5" customHeight="1"/>
    <row r="483" ht="16.5" customHeight="1"/>
    <row r="484" ht="16.5" customHeight="1"/>
    <row r="485" ht="16.5" customHeight="1"/>
    <row r="486" ht="16.5" customHeight="1"/>
    <row r="487" ht="16.5" customHeight="1"/>
    <row r="488" ht="16.5" customHeight="1"/>
    <row r="489" ht="16.5" customHeight="1"/>
    <row r="490" ht="16.5" customHeight="1"/>
    <row r="491" ht="16.5" customHeight="1"/>
    <row r="492" ht="16.5" customHeight="1"/>
    <row r="493" ht="16.5" customHeight="1"/>
    <row r="494" ht="16.5" customHeight="1"/>
    <row r="495" ht="16.5" customHeight="1"/>
    <row r="496" ht="16.5" customHeight="1"/>
    <row r="497" ht="16.5" customHeight="1"/>
    <row r="498" ht="16.5" customHeight="1"/>
    <row r="499" ht="16.5" customHeight="1"/>
    <row r="500" ht="16.5" customHeight="1"/>
    <row r="501" ht="16.5" customHeight="1"/>
    <row r="502" ht="16.5" customHeight="1"/>
    <row r="503" ht="16.5" customHeight="1"/>
    <row r="504" ht="16.5" customHeight="1"/>
    <row r="505" ht="16.5" customHeight="1"/>
    <row r="506" ht="16.5" customHeight="1"/>
    <row r="507" ht="16.5" customHeight="1"/>
    <row r="508" ht="16.5" customHeight="1"/>
    <row r="509" ht="16.5" customHeight="1"/>
    <row r="510" ht="16.5" customHeight="1"/>
    <row r="511" ht="16.5" customHeight="1"/>
    <row r="512" ht="16.5" customHeight="1"/>
    <row r="513" ht="16.5" customHeight="1"/>
    <row r="514" ht="16.5" customHeight="1"/>
    <row r="515" ht="16.5" customHeight="1"/>
    <row r="516" ht="16.5" customHeight="1"/>
    <row r="517" ht="16.5" customHeight="1"/>
    <row r="518" ht="16.5" customHeight="1"/>
    <row r="519" ht="16.5" customHeight="1"/>
    <row r="520" ht="16.5" customHeight="1"/>
    <row r="521" ht="16.5" customHeight="1"/>
    <row r="522" ht="16.5" customHeight="1"/>
    <row r="523" ht="16.5" customHeight="1"/>
    <row r="524" ht="16.5" customHeight="1"/>
    <row r="525" ht="16.5" customHeight="1"/>
    <row r="526" ht="16.5" customHeight="1"/>
    <row r="527" ht="16.5" customHeight="1"/>
    <row r="528" ht="16.5" customHeight="1"/>
    <row r="529" ht="16.5" customHeight="1"/>
    <row r="530" ht="16.5" customHeight="1"/>
    <row r="531" ht="16.5" customHeight="1"/>
    <row r="532" ht="16.5" customHeight="1"/>
    <row r="533" ht="16.5" customHeight="1"/>
    <row r="534" ht="16.5" customHeight="1"/>
    <row r="535" ht="16.5" customHeight="1"/>
    <row r="536" ht="16.5" customHeight="1"/>
    <row r="537" ht="16.5" customHeight="1"/>
    <row r="538" ht="16.5" customHeight="1"/>
    <row r="539" ht="16.5" customHeight="1"/>
    <row r="540" ht="16.5" customHeight="1"/>
    <row r="541" ht="16.5" customHeight="1"/>
    <row r="542" ht="16.5" customHeight="1"/>
    <row r="543" ht="16.5" customHeight="1"/>
    <row r="544" ht="16.5" customHeight="1"/>
    <row r="545" ht="16.5" customHeight="1"/>
    <row r="546" ht="16.5" customHeight="1"/>
    <row r="547" ht="16.5" customHeight="1"/>
    <row r="548" ht="16.5" customHeight="1"/>
    <row r="549" ht="16.5" customHeight="1"/>
    <row r="550" ht="16.5" customHeight="1"/>
    <row r="551" ht="16.5" customHeight="1"/>
    <row r="552" ht="16.5" customHeight="1"/>
    <row r="553" ht="16.5" customHeight="1"/>
    <row r="554" ht="16.5" customHeight="1"/>
    <row r="555" ht="16.5" customHeight="1"/>
    <row r="556" ht="16.5" customHeight="1"/>
    <row r="557" ht="16.5" customHeight="1"/>
    <row r="558" ht="16.5" customHeight="1"/>
    <row r="559" ht="16.5" customHeight="1"/>
    <row r="560" ht="16.5" customHeight="1"/>
    <row r="561" ht="16.5" customHeight="1"/>
    <row r="562" ht="16.5" customHeight="1"/>
    <row r="563" ht="16.5" customHeight="1"/>
    <row r="564" ht="16.5" customHeight="1"/>
    <row r="565" ht="16.5" customHeight="1"/>
    <row r="566" ht="16.5" customHeight="1"/>
    <row r="567" ht="16.5" customHeight="1"/>
    <row r="568" ht="16.5" customHeight="1"/>
    <row r="569" ht="16.5" customHeight="1"/>
    <row r="570" ht="16.5" customHeight="1"/>
    <row r="571" ht="16.5" customHeight="1"/>
    <row r="572" ht="16.5" customHeight="1"/>
    <row r="573" ht="16.5" customHeight="1"/>
    <row r="574" ht="16.5" customHeight="1"/>
    <row r="575" ht="16.5" customHeight="1"/>
    <row r="576" ht="16.5" customHeight="1"/>
    <row r="577" ht="16.5" customHeight="1"/>
    <row r="578" ht="16.5" customHeight="1"/>
    <row r="579" ht="16.5" customHeight="1"/>
    <row r="580" ht="16.5" customHeight="1"/>
    <row r="581" ht="16.5" customHeight="1"/>
    <row r="582" ht="16.5" customHeight="1"/>
    <row r="583" ht="16.5" customHeight="1"/>
    <row r="584" ht="16.5" customHeight="1"/>
    <row r="585" ht="16.5" customHeight="1"/>
    <row r="586" ht="16.5" customHeight="1"/>
    <row r="587" ht="16.5" customHeight="1"/>
    <row r="588" ht="16.5" customHeight="1"/>
    <row r="589" ht="16.5" customHeight="1"/>
    <row r="590" ht="16.5" customHeight="1"/>
    <row r="591" ht="16.5" customHeight="1"/>
    <row r="592" ht="16.5" customHeight="1"/>
    <row r="593" ht="16.5" customHeight="1"/>
    <row r="594" ht="16.5" customHeight="1"/>
    <row r="595" ht="16.5" customHeight="1"/>
    <row r="596" ht="16.5" customHeight="1"/>
    <row r="597" ht="16.5" customHeight="1"/>
    <row r="598" ht="16.5" customHeight="1"/>
    <row r="599" ht="16.5" customHeight="1"/>
    <row r="600" ht="16.5" customHeight="1"/>
    <row r="601" ht="16.5" customHeight="1"/>
    <row r="602" ht="16.5" customHeight="1"/>
    <row r="603" ht="16.5" customHeight="1"/>
    <row r="604" ht="16.5" customHeight="1"/>
    <row r="605" ht="16.5" customHeight="1"/>
    <row r="606" ht="16.5" customHeight="1"/>
    <row r="607" ht="16.5" customHeight="1"/>
    <row r="608" ht="16.5" customHeight="1"/>
    <row r="609" ht="16.5" customHeight="1"/>
    <row r="610" ht="16.5" customHeight="1"/>
    <row r="611" ht="16.5" customHeight="1"/>
    <row r="612" ht="16.5" customHeight="1"/>
    <row r="613" ht="16.5" customHeight="1"/>
    <row r="614" ht="16.5" customHeight="1"/>
    <row r="615" ht="16.5" customHeight="1"/>
    <row r="616" ht="16.5" customHeight="1"/>
    <row r="617" ht="16.5" customHeight="1"/>
    <row r="618" ht="16.5" customHeight="1"/>
    <row r="619" ht="16.5" customHeight="1"/>
    <row r="620" ht="16.5" customHeight="1"/>
    <row r="621" ht="16.5" customHeight="1"/>
    <row r="622" ht="16.5" customHeight="1"/>
    <row r="623" ht="16.5" customHeight="1"/>
    <row r="624" ht="16.5" customHeight="1"/>
    <row r="625" ht="16.5" customHeight="1"/>
    <row r="626" ht="16.5" customHeight="1"/>
    <row r="627" ht="16.5" customHeight="1"/>
    <row r="628" ht="16.5" customHeight="1"/>
    <row r="629" ht="16.5" customHeight="1"/>
    <row r="630" ht="16.5" customHeight="1"/>
    <row r="631" ht="16.5" customHeight="1"/>
    <row r="632" ht="16.5" customHeight="1"/>
    <row r="633" ht="16.5" customHeight="1"/>
    <row r="634" ht="16.5" customHeight="1"/>
    <row r="635" ht="16.5" customHeight="1"/>
    <row r="636" ht="16.5" customHeight="1"/>
    <row r="637" ht="16.5" customHeight="1"/>
    <row r="638" ht="16.5" customHeight="1"/>
    <row r="639" ht="16.5" customHeight="1"/>
    <row r="640" ht="16.5" customHeight="1"/>
    <row r="641" ht="16.5" customHeight="1"/>
    <row r="642" ht="16.5" customHeight="1"/>
    <row r="643" ht="16.5" customHeight="1"/>
    <row r="644" ht="16.5" customHeight="1"/>
    <row r="645" ht="16.5" customHeight="1"/>
    <row r="646" ht="16.5" customHeight="1"/>
    <row r="647" ht="16.5" customHeight="1"/>
    <row r="648" ht="16.5" customHeight="1"/>
    <row r="649" ht="16.5" customHeight="1"/>
    <row r="650" ht="16.5" customHeight="1"/>
    <row r="651" ht="16.5" customHeight="1"/>
    <row r="652" ht="16.5" customHeight="1"/>
    <row r="653" ht="16.5" customHeight="1"/>
    <row r="654" ht="16.5" customHeight="1"/>
    <row r="655" ht="16.5" customHeight="1"/>
    <row r="656" ht="16.5" customHeight="1"/>
    <row r="657" ht="16.5" customHeight="1"/>
    <row r="658" ht="16.5" customHeight="1"/>
    <row r="659" ht="16.5" customHeight="1"/>
    <row r="660" ht="16.5" customHeight="1"/>
    <row r="661" ht="16.5" customHeight="1"/>
    <row r="662" ht="16.5" customHeight="1"/>
    <row r="663" ht="16.5" customHeight="1"/>
    <row r="664" ht="16.5" customHeight="1"/>
    <row r="665" ht="16.5" customHeight="1"/>
    <row r="666" ht="16.5" customHeight="1"/>
    <row r="667" ht="16.5" customHeight="1"/>
    <row r="668" ht="16.5" customHeight="1"/>
    <row r="669" ht="16.5" customHeight="1"/>
    <row r="670" ht="16.5" customHeight="1"/>
    <row r="671" ht="16.5" customHeight="1"/>
    <row r="672" ht="16.5" customHeight="1"/>
    <row r="673" ht="16.5" customHeight="1"/>
    <row r="674" ht="16.5" customHeight="1"/>
    <row r="675" ht="16.5" customHeight="1"/>
    <row r="676" ht="16.5" customHeight="1"/>
    <row r="677" ht="16.5" customHeight="1"/>
    <row r="678" ht="16.5" customHeight="1"/>
    <row r="679" ht="16.5" customHeight="1"/>
    <row r="680" ht="16.5" customHeight="1"/>
    <row r="681" ht="16.5" customHeight="1"/>
    <row r="682" ht="16.5" customHeight="1"/>
    <row r="683" ht="16.5" customHeight="1"/>
    <row r="684" ht="16.5" customHeight="1"/>
    <row r="685" ht="16.5" customHeight="1"/>
    <row r="686" ht="16.5" customHeight="1"/>
    <row r="687" ht="16.5" customHeight="1"/>
    <row r="688" ht="16.5" customHeight="1"/>
    <row r="689" ht="16.5" customHeight="1"/>
    <row r="690" ht="16.5" customHeight="1"/>
    <row r="691" ht="16.5" customHeight="1"/>
    <row r="692" ht="16.5" customHeight="1"/>
    <row r="693" ht="16.5" customHeight="1"/>
    <row r="694" ht="16.5" customHeight="1"/>
    <row r="695" ht="16.5" customHeight="1"/>
    <row r="696" ht="16.5" customHeight="1"/>
    <row r="697" ht="16.5" customHeight="1"/>
    <row r="698" ht="16.5" customHeight="1"/>
    <row r="699" ht="16.5" customHeight="1"/>
    <row r="700" ht="16.5" customHeight="1"/>
    <row r="701" ht="16.5" customHeight="1"/>
    <row r="702" ht="16.5" customHeight="1"/>
    <row r="703" ht="16.5" customHeight="1"/>
    <row r="704" ht="16.5" customHeight="1"/>
    <row r="705" ht="16.5" customHeight="1"/>
    <row r="706" ht="16.5" customHeight="1"/>
    <row r="707" ht="16.5" customHeight="1"/>
    <row r="708" ht="16.5" customHeight="1"/>
    <row r="709" ht="16.5" customHeight="1"/>
    <row r="710" ht="16.5" customHeight="1"/>
    <row r="711" ht="16.5" customHeight="1"/>
    <row r="712" ht="16.5" customHeight="1"/>
    <row r="713" ht="16.5" customHeight="1"/>
    <row r="714" ht="16.5" customHeight="1"/>
    <row r="715" ht="16.5" customHeight="1"/>
    <row r="716" ht="16.5" customHeight="1"/>
    <row r="717" ht="16.5" customHeight="1"/>
    <row r="718" ht="16.5" customHeight="1"/>
    <row r="719" ht="16.5" customHeight="1"/>
    <row r="720" ht="16.5" customHeight="1"/>
    <row r="721" ht="16.5" customHeight="1"/>
    <row r="722" ht="16.5" customHeight="1"/>
    <row r="723" ht="16.5" customHeight="1"/>
    <row r="724" ht="16.5" customHeight="1"/>
    <row r="725" ht="16.5" customHeight="1"/>
    <row r="726" ht="16.5" customHeight="1"/>
    <row r="727" ht="16.5" customHeight="1"/>
    <row r="728" ht="16.5" customHeight="1"/>
    <row r="729" ht="16.5" customHeight="1"/>
    <row r="730" ht="16.5" customHeight="1"/>
    <row r="731" ht="16.5" customHeight="1"/>
    <row r="732" ht="16.5" customHeight="1"/>
    <row r="733" ht="16.5" customHeight="1"/>
    <row r="734" ht="16.5" customHeight="1"/>
    <row r="735" ht="16.5" customHeight="1"/>
    <row r="736" ht="16.5" customHeight="1"/>
    <row r="737" ht="16.5" customHeight="1"/>
    <row r="738" ht="16.5" customHeight="1"/>
    <row r="739" ht="16.5" customHeight="1"/>
    <row r="740" ht="16.5" customHeight="1"/>
    <row r="741" ht="16.5" customHeight="1"/>
    <row r="742" ht="16.5" customHeight="1"/>
    <row r="743" ht="16.5" customHeight="1"/>
    <row r="744" ht="16.5" customHeight="1"/>
    <row r="745" ht="16.5" customHeight="1"/>
    <row r="746" ht="16.5" customHeight="1"/>
    <row r="747" ht="16.5" customHeight="1"/>
    <row r="748" ht="16.5" customHeight="1"/>
    <row r="749" ht="16.5" customHeight="1"/>
    <row r="750" ht="16.5" customHeight="1"/>
    <row r="751" ht="16.5" customHeight="1"/>
    <row r="752" ht="16.5" customHeight="1"/>
    <row r="753" ht="16.5" customHeight="1"/>
    <row r="754" ht="16.5" customHeight="1"/>
    <row r="755" ht="16.5" customHeight="1"/>
    <row r="756" ht="16.5" customHeight="1"/>
    <row r="757" ht="16.5" customHeight="1"/>
    <row r="758" ht="16.5" customHeight="1"/>
    <row r="759" ht="16.5" customHeight="1"/>
    <row r="760" ht="16.5" customHeight="1"/>
    <row r="761" ht="16.5" customHeight="1"/>
    <row r="762" ht="16.5" customHeight="1"/>
    <row r="763" ht="16.5" customHeight="1"/>
    <row r="764" ht="16.5" customHeight="1"/>
    <row r="765" ht="16.5" customHeight="1"/>
    <row r="766" ht="16.5" customHeight="1"/>
    <row r="767" ht="16.5" customHeight="1"/>
    <row r="768" ht="16.5" customHeight="1"/>
    <row r="769" ht="16.5" customHeight="1"/>
    <row r="770" ht="16.5" customHeight="1"/>
    <row r="771" ht="16.5" customHeight="1"/>
    <row r="772" ht="16.5" customHeight="1"/>
    <row r="773" ht="16.5" customHeight="1"/>
    <row r="774" ht="16.5" customHeight="1"/>
    <row r="775" ht="16.5" customHeight="1"/>
    <row r="776" ht="16.5" customHeight="1"/>
    <row r="777" ht="16.5" customHeight="1"/>
    <row r="778" ht="16.5" customHeight="1"/>
    <row r="779" ht="16.5" customHeight="1"/>
    <row r="780" ht="16.5" customHeight="1"/>
    <row r="781" ht="16.5" customHeight="1"/>
    <row r="782" ht="16.5" customHeight="1"/>
    <row r="783" ht="16.5" customHeight="1"/>
    <row r="784" ht="16.5" customHeight="1"/>
    <row r="785" ht="16.5" customHeight="1"/>
    <row r="786" ht="16.5" customHeight="1"/>
    <row r="787" ht="16.5" customHeight="1"/>
    <row r="788" ht="16.5" customHeight="1"/>
    <row r="789" ht="16.5" customHeight="1"/>
    <row r="790" ht="16.5" customHeight="1"/>
    <row r="791" ht="16.5" customHeight="1"/>
    <row r="792" ht="16.5" customHeight="1"/>
    <row r="793" ht="16.5" customHeight="1"/>
    <row r="794" ht="16.5" customHeight="1"/>
    <row r="795" ht="16.5" customHeight="1"/>
    <row r="796" ht="16.5" customHeight="1"/>
    <row r="797" ht="16.5" customHeight="1"/>
    <row r="798" ht="16.5" customHeight="1"/>
    <row r="799" ht="16.5" customHeight="1"/>
    <row r="800" ht="16.5" customHeight="1"/>
    <row r="801" ht="16.5" customHeight="1"/>
    <row r="802" ht="16.5" customHeight="1"/>
    <row r="803" ht="16.5" customHeight="1"/>
    <row r="804" ht="16.5" customHeight="1"/>
    <row r="805" ht="16.5" customHeight="1"/>
    <row r="806" ht="16.5" customHeight="1"/>
    <row r="807" ht="16.5" customHeight="1"/>
    <row r="808" ht="16.5" customHeight="1"/>
    <row r="809" ht="16.5" customHeight="1"/>
    <row r="810" ht="16.5" customHeight="1"/>
    <row r="811" ht="16.5" customHeight="1"/>
    <row r="812" ht="16.5" customHeight="1"/>
    <row r="813" ht="16.5" customHeight="1"/>
    <row r="814" ht="16.5" customHeight="1"/>
    <row r="815" ht="16.5" customHeight="1"/>
    <row r="816" ht="16.5" customHeight="1"/>
    <row r="817" ht="16.5" customHeight="1"/>
    <row r="818" ht="16.5" customHeight="1"/>
    <row r="819" ht="16.5" customHeight="1"/>
    <row r="820" ht="16.5" customHeight="1"/>
    <row r="821" ht="16.5" customHeight="1"/>
    <row r="822" ht="16.5" customHeight="1"/>
    <row r="823" ht="16.5" customHeight="1"/>
    <row r="824" ht="16.5" customHeight="1"/>
    <row r="825" ht="16.5" customHeight="1"/>
    <row r="826" ht="16.5" customHeight="1"/>
    <row r="827" ht="16.5" customHeight="1"/>
    <row r="828" ht="16.5" customHeight="1"/>
    <row r="829" ht="16.5" customHeight="1"/>
    <row r="830" ht="16.5" customHeight="1"/>
    <row r="831" ht="16.5" customHeight="1"/>
    <row r="832" ht="16.5" customHeight="1"/>
    <row r="833" ht="16.5" customHeight="1"/>
    <row r="834" ht="16.5" customHeight="1"/>
    <row r="835" ht="16.5" customHeight="1"/>
    <row r="836" ht="16.5" customHeight="1"/>
    <row r="837" ht="16.5" customHeight="1"/>
    <row r="838" ht="16.5" customHeight="1"/>
    <row r="839" ht="16.5" customHeight="1"/>
    <row r="840" ht="16.5" customHeight="1"/>
    <row r="841" ht="16.5" customHeight="1"/>
    <row r="842" ht="16.5" customHeight="1"/>
    <row r="843" ht="16.5" customHeight="1"/>
    <row r="844" ht="16.5" customHeight="1"/>
    <row r="845" ht="16.5" customHeight="1"/>
    <row r="846" ht="16.5" customHeight="1"/>
    <row r="847" ht="16.5" customHeight="1"/>
    <row r="848" ht="16.5" customHeight="1"/>
    <row r="849" ht="16.5" customHeight="1"/>
    <row r="850" ht="16.5" customHeight="1"/>
    <row r="851" ht="16.5" customHeight="1"/>
    <row r="852" ht="16.5" customHeight="1"/>
    <row r="853" ht="16.5" customHeight="1"/>
    <row r="854" ht="16.5" customHeight="1"/>
    <row r="855" ht="16.5" customHeight="1"/>
    <row r="856" ht="16.5" customHeight="1"/>
    <row r="857" ht="16.5" customHeight="1"/>
    <row r="858" ht="16.5" customHeight="1"/>
    <row r="859" ht="16.5" customHeight="1"/>
    <row r="860" ht="16.5" customHeight="1"/>
    <row r="861" ht="16.5" customHeight="1"/>
    <row r="862" ht="16.5" customHeight="1"/>
    <row r="863" ht="16.5" customHeight="1"/>
    <row r="864" ht="16.5" customHeight="1"/>
    <row r="865" ht="16.5" customHeight="1"/>
    <row r="866" ht="16.5" customHeight="1"/>
    <row r="867" ht="16.5" customHeight="1"/>
    <row r="868" ht="16.5" customHeight="1"/>
    <row r="869" ht="16.5" customHeight="1"/>
    <row r="870" ht="16.5" customHeight="1"/>
    <row r="871" ht="16.5" customHeight="1"/>
    <row r="872" ht="16.5" customHeight="1"/>
    <row r="873" ht="16.5" customHeight="1"/>
    <row r="874" ht="16.5" customHeight="1"/>
    <row r="875" ht="16.5" customHeight="1"/>
    <row r="876" ht="16.5" customHeight="1"/>
    <row r="877" ht="16.5" customHeight="1"/>
    <row r="878" ht="16.5" customHeight="1"/>
    <row r="879" ht="16.5" customHeight="1"/>
    <row r="880" ht="16.5" customHeight="1"/>
    <row r="881" ht="16.5" customHeight="1"/>
    <row r="882" ht="16.5" customHeight="1"/>
    <row r="883" ht="16.5" customHeight="1"/>
    <row r="884" ht="16.5" customHeight="1"/>
    <row r="885" ht="16.5" customHeight="1"/>
    <row r="886" ht="16.5" customHeight="1"/>
    <row r="887" ht="16.5" customHeight="1"/>
  </sheetData>
  <mergeCells count="1">
    <mergeCell ref="A1:E2"/>
  </mergeCells>
  <phoneticPr fontId="6" type="noConversion"/>
  <pageMargins left="0.7" right="0.7" top="0.75" bottom="0.75" header="0" footer="0"/>
  <pageSetup paperSize="9" scale="85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1000"/>
  <sheetViews>
    <sheetView topLeftCell="A2" workbookViewId="0">
      <selection activeCell="A91" sqref="A91:J91"/>
    </sheetView>
  </sheetViews>
  <sheetFormatPr defaultColWidth="14.42578125" defaultRowHeight="15" customHeight="1"/>
  <cols>
    <col min="1" max="1" width="13.85546875" customWidth="1"/>
    <col min="2" max="3" width="14.42578125" customWidth="1"/>
    <col min="4" max="7" width="12.7109375" customWidth="1"/>
    <col min="8" max="8" width="9.28515625" customWidth="1"/>
    <col min="9" max="9" width="13.28515625" customWidth="1"/>
    <col min="10" max="11" width="12.7109375" customWidth="1"/>
    <col min="12" max="12" width="13.28515625" customWidth="1"/>
    <col min="13" max="14" width="12.7109375" customWidth="1"/>
    <col min="15" max="25" width="8.7109375" customWidth="1"/>
  </cols>
  <sheetData>
    <row r="1" spans="1:14" ht="16.5" customHeight="1">
      <c r="A1" s="21" t="s">
        <v>0</v>
      </c>
      <c r="B1" s="22" t="s">
        <v>1</v>
      </c>
      <c r="C1" s="22" t="s">
        <v>2</v>
      </c>
      <c r="D1" s="22" t="s">
        <v>14</v>
      </c>
      <c r="E1" s="22" t="s">
        <v>15</v>
      </c>
      <c r="F1" s="22" t="s">
        <v>16</v>
      </c>
      <c r="G1" s="22" t="s">
        <v>17</v>
      </c>
      <c r="H1" s="22" t="s">
        <v>18</v>
      </c>
      <c r="I1" s="22" t="s">
        <v>19</v>
      </c>
      <c r="J1" s="22" t="s">
        <v>221</v>
      </c>
      <c r="K1" s="22" t="s">
        <v>222</v>
      </c>
      <c r="L1" s="22" t="s">
        <v>20</v>
      </c>
      <c r="M1" s="22" t="s">
        <v>224</v>
      </c>
      <c r="N1" s="22" t="s">
        <v>223</v>
      </c>
    </row>
    <row r="2" spans="1:14" ht="16.5" customHeight="1">
      <c r="A2" s="22" t="s">
        <v>121</v>
      </c>
      <c r="B2" s="21" t="s">
        <v>21</v>
      </c>
      <c r="C2" s="21">
        <v>240141667.52084714</v>
      </c>
      <c r="D2" s="21">
        <v>56704058.359199136</v>
      </c>
      <c r="E2" s="21">
        <v>40666865.388532102</v>
      </c>
      <c r="F2" s="21">
        <v>86181246.403695479</v>
      </c>
      <c r="G2" s="21">
        <v>56589497.369420417</v>
      </c>
      <c r="H2" s="21">
        <v>337</v>
      </c>
      <c r="I2" s="21">
        <v>178</v>
      </c>
      <c r="J2" s="21">
        <v>88</v>
      </c>
      <c r="K2" s="21">
        <v>90</v>
      </c>
      <c r="L2" s="21">
        <v>159</v>
      </c>
      <c r="M2" s="21">
        <v>126</v>
      </c>
      <c r="N2" s="21">
        <v>33</v>
      </c>
    </row>
    <row r="3" spans="1:14" ht="16.5" customHeight="1">
      <c r="A3" s="22" t="s">
        <v>122</v>
      </c>
      <c r="B3" s="21" t="s">
        <v>22</v>
      </c>
      <c r="C3" s="21">
        <v>498636452.32815439</v>
      </c>
      <c r="D3" s="21">
        <v>143306748.87800881</v>
      </c>
      <c r="E3" s="21">
        <v>118119996.9141724</v>
      </c>
      <c r="F3" s="21">
        <v>119796078.8864025</v>
      </c>
      <c r="G3" s="21">
        <v>117413627.6495707</v>
      </c>
      <c r="H3" s="21">
        <v>375</v>
      </c>
      <c r="I3" s="21">
        <v>198</v>
      </c>
      <c r="J3" s="21">
        <v>111</v>
      </c>
      <c r="K3" s="21">
        <v>87</v>
      </c>
      <c r="L3" s="21">
        <v>177</v>
      </c>
      <c r="M3" s="21">
        <v>117</v>
      </c>
      <c r="N3" s="21">
        <v>60</v>
      </c>
    </row>
    <row r="4" spans="1:14" ht="16.5" customHeight="1">
      <c r="A4" s="22" t="s">
        <v>123</v>
      </c>
      <c r="B4" s="21" t="s">
        <v>23</v>
      </c>
      <c r="C4" s="21">
        <v>368496390.85232353</v>
      </c>
      <c r="D4" s="21">
        <v>123408391.14718179</v>
      </c>
      <c r="E4" s="21">
        <v>53927078.590075091</v>
      </c>
      <c r="F4" s="21">
        <v>94993714.12386927</v>
      </c>
      <c r="G4" s="21">
        <v>96167206.991197363</v>
      </c>
      <c r="H4" s="21">
        <v>338</v>
      </c>
      <c r="I4" s="21">
        <v>179</v>
      </c>
      <c r="J4" s="21">
        <v>79</v>
      </c>
      <c r="K4" s="21">
        <v>100</v>
      </c>
      <c r="L4" s="21">
        <v>159</v>
      </c>
      <c r="M4" s="21">
        <v>82</v>
      </c>
      <c r="N4" s="21">
        <v>77</v>
      </c>
    </row>
    <row r="5" spans="1:14" ht="16.5" customHeight="1">
      <c r="A5" s="22" t="s">
        <v>124</v>
      </c>
      <c r="B5" s="21" t="s">
        <v>24</v>
      </c>
      <c r="C5" s="21">
        <v>360120783.13378775</v>
      </c>
      <c r="D5" s="21">
        <v>57698859.768879108</v>
      </c>
      <c r="E5" s="21">
        <v>149980634.487528</v>
      </c>
      <c r="F5" s="21">
        <v>76581102.21906884</v>
      </c>
      <c r="G5" s="21">
        <v>75860186.658311814</v>
      </c>
      <c r="H5" s="21">
        <v>271</v>
      </c>
      <c r="I5" s="21">
        <v>143</v>
      </c>
      <c r="J5" s="21">
        <v>112</v>
      </c>
      <c r="K5" s="21">
        <v>31</v>
      </c>
      <c r="L5" s="21">
        <v>128</v>
      </c>
      <c r="M5" s="21">
        <v>122</v>
      </c>
      <c r="N5" s="21">
        <v>6</v>
      </c>
    </row>
    <row r="6" spans="1:14" ht="16.5" customHeight="1">
      <c r="A6" s="22" t="s">
        <v>125</v>
      </c>
      <c r="B6" s="21" t="s">
        <v>25</v>
      </c>
      <c r="C6" s="21">
        <v>548432076.75301218</v>
      </c>
      <c r="D6" s="21">
        <v>104376869.0597938</v>
      </c>
      <c r="E6" s="21">
        <v>151598057.25565711</v>
      </c>
      <c r="F6" s="21">
        <v>131320158.3951357</v>
      </c>
      <c r="G6" s="21">
        <v>161136992.04242551</v>
      </c>
      <c r="H6" s="21">
        <v>49</v>
      </c>
      <c r="I6" s="21">
        <v>25</v>
      </c>
      <c r="J6" s="21">
        <v>23</v>
      </c>
      <c r="K6" s="21">
        <v>2</v>
      </c>
      <c r="L6" s="21">
        <v>24</v>
      </c>
      <c r="M6" s="21">
        <v>11</v>
      </c>
      <c r="N6" s="21">
        <v>13</v>
      </c>
    </row>
    <row r="7" spans="1:14" ht="16.5" customHeight="1">
      <c r="A7" s="22" t="s">
        <v>126</v>
      </c>
      <c r="B7" s="21" t="s">
        <v>26</v>
      </c>
      <c r="C7" s="21">
        <v>203802798.72240728</v>
      </c>
      <c r="D7" s="21">
        <v>34775108.022242039</v>
      </c>
      <c r="E7" s="21">
        <v>59147394.311673611</v>
      </c>
      <c r="F7" s="21">
        <v>73420725.073184043</v>
      </c>
      <c r="G7" s="21">
        <v>36459571.315307572</v>
      </c>
      <c r="H7" s="21">
        <v>345</v>
      </c>
      <c r="I7" s="21">
        <v>183</v>
      </c>
      <c r="J7" s="21">
        <v>154</v>
      </c>
      <c r="K7" s="21">
        <v>29</v>
      </c>
      <c r="L7" s="21">
        <v>162</v>
      </c>
      <c r="M7" s="21">
        <v>146</v>
      </c>
      <c r="N7" s="21">
        <v>16</v>
      </c>
    </row>
    <row r="8" spans="1:14" ht="16.5" customHeight="1">
      <c r="A8" s="22" t="s">
        <v>127</v>
      </c>
      <c r="B8" s="21" t="s">
        <v>27</v>
      </c>
      <c r="C8" s="21">
        <v>434001632.87469125</v>
      </c>
      <c r="D8" s="21">
        <v>153086752.07789141</v>
      </c>
      <c r="E8" s="21">
        <v>64990007.072692499</v>
      </c>
      <c r="F8" s="21">
        <v>114314650.34946521</v>
      </c>
      <c r="G8" s="21">
        <v>101610223.3746421</v>
      </c>
      <c r="H8" s="21">
        <v>345</v>
      </c>
      <c r="I8" s="21">
        <v>183</v>
      </c>
      <c r="J8" s="21">
        <v>97</v>
      </c>
      <c r="K8" s="21">
        <v>86</v>
      </c>
      <c r="L8" s="21">
        <v>162</v>
      </c>
      <c r="M8" s="21">
        <v>83</v>
      </c>
      <c r="N8" s="21">
        <v>79</v>
      </c>
    </row>
    <row r="9" spans="1:14" ht="16.5" customHeight="1">
      <c r="A9" s="22" t="s">
        <v>128</v>
      </c>
      <c r="B9" s="21" t="s">
        <v>28</v>
      </c>
      <c r="C9" s="21">
        <v>640138118.00788581</v>
      </c>
      <c r="D9" s="21">
        <v>181891902.91387749</v>
      </c>
      <c r="E9" s="21">
        <v>189717725.8391766</v>
      </c>
      <c r="F9" s="21">
        <v>168426832.63521791</v>
      </c>
      <c r="G9" s="21">
        <v>100101656.6196138</v>
      </c>
      <c r="H9" s="21">
        <v>307</v>
      </c>
      <c r="I9" s="21">
        <v>162</v>
      </c>
      <c r="J9" s="21">
        <v>66</v>
      </c>
      <c r="K9" s="21">
        <v>96</v>
      </c>
      <c r="L9" s="21">
        <v>145</v>
      </c>
      <c r="M9" s="21">
        <v>118</v>
      </c>
      <c r="N9" s="21">
        <v>27</v>
      </c>
    </row>
    <row r="10" spans="1:14" ht="16.5" customHeight="1">
      <c r="A10" s="22" t="s">
        <v>129</v>
      </c>
      <c r="B10" s="21" t="s">
        <v>29</v>
      </c>
      <c r="C10" s="21">
        <v>407475487.86270952</v>
      </c>
      <c r="D10" s="21">
        <v>144264019.42564911</v>
      </c>
      <c r="E10" s="21">
        <v>93260270.613609478</v>
      </c>
      <c r="F10" s="21">
        <v>77960014.513512284</v>
      </c>
      <c r="G10" s="21">
        <v>91991183.309938639</v>
      </c>
      <c r="H10" s="21">
        <v>483</v>
      </c>
      <c r="I10" s="21">
        <v>256</v>
      </c>
      <c r="J10" s="21">
        <v>211</v>
      </c>
      <c r="K10" s="21">
        <v>45</v>
      </c>
      <c r="L10" s="21">
        <v>227</v>
      </c>
      <c r="M10" s="21">
        <v>141</v>
      </c>
      <c r="N10" s="21">
        <v>86</v>
      </c>
    </row>
    <row r="11" spans="1:14" ht="16.5" customHeight="1">
      <c r="A11" s="22" t="s">
        <v>130</v>
      </c>
      <c r="B11" s="21" t="s">
        <v>30</v>
      </c>
      <c r="C11" s="21">
        <v>648932780.65856028</v>
      </c>
      <c r="D11" s="21">
        <v>125625524.5466352</v>
      </c>
      <c r="E11" s="21">
        <v>164340547.66541171</v>
      </c>
      <c r="F11" s="21">
        <v>186699732.19696161</v>
      </c>
      <c r="G11" s="21">
        <v>172266976.24955171</v>
      </c>
      <c r="H11" s="21">
        <v>160</v>
      </c>
      <c r="I11" s="21">
        <v>84</v>
      </c>
      <c r="J11" s="21">
        <v>40</v>
      </c>
      <c r="K11" s="21">
        <v>44</v>
      </c>
      <c r="L11" s="21">
        <v>76</v>
      </c>
      <c r="M11" s="21">
        <v>37</v>
      </c>
      <c r="N11" s="21">
        <v>39</v>
      </c>
    </row>
    <row r="12" spans="1:14" ht="16.5" customHeight="1">
      <c r="A12" s="22" t="s">
        <v>131</v>
      </c>
      <c r="B12" s="21" t="s">
        <v>31</v>
      </c>
      <c r="C12" s="21">
        <v>593124061.59779501</v>
      </c>
      <c r="D12" s="21">
        <v>158147140.35333589</v>
      </c>
      <c r="E12" s="21">
        <v>161672573.10659951</v>
      </c>
      <c r="F12" s="21">
        <v>134294210.085217</v>
      </c>
      <c r="G12" s="21">
        <v>139010138.05264261</v>
      </c>
      <c r="H12" s="21">
        <v>483</v>
      </c>
      <c r="I12" s="21">
        <v>256</v>
      </c>
      <c r="J12" s="21">
        <v>207</v>
      </c>
      <c r="K12" s="21">
        <v>49</v>
      </c>
      <c r="L12" s="21">
        <v>227</v>
      </c>
      <c r="M12" s="21">
        <v>86</v>
      </c>
      <c r="N12" s="21">
        <v>141</v>
      </c>
    </row>
    <row r="13" spans="1:14" ht="16.5" customHeight="1">
      <c r="A13" s="22" t="s">
        <v>132</v>
      </c>
      <c r="B13" s="21" t="s">
        <v>32</v>
      </c>
      <c r="C13" s="21">
        <v>739446446.94699419</v>
      </c>
      <c r="D13" s="21">
        <v>194149669.02745071</v>
      </c>
      <c r="E13" s="21">
        <v>109814702.3717563</v>
      </c>
      <c r="F13" s="21">
        <v>245279206.22535229</v>
      </c>
      <c r="G13" s="21">
        <v>190202869.3224349</v>
      </c>
      <c r="H13" s="21">
        <v>227</v>
      </c>
      <c r="I13" s="21">
        <v>120</v>
      </c>
      <c r="J13" s="21">
        <v>97</v>
      </c>
      <c r="K13" s="21">
        <v>23</v>
      </c>
      <c r="L13" s="21">
        <v>107</v>
      </c>
      <c r="M13" s="21">
        <v>77</v>
      </c>
      <c r="N13" s="21">
        <v>30</v>
      </c>
    </row>
    <row r="14" spans="1:14" ht="16.5" customHeight="1">
      <c r="A14" s="22" t="s">
        <v>133</v>
      </c>
      <c r="B14" s="21" t="s">
        <v>33</v>
      </c>
      <c r="C14" s="21">
        <v>256630801.30191886</v>
      </c>
      <c r="D14" s="21">
        <v>77541436.808263317</v>
      </c>
      <c r="E14" s="21">
        <v>59429489.443624698</v>
      </c>
      <c r="F14" s="21">
        <v>38617233.895007417</v>
      </c>
      <c r="G14" s="21">
        <v>81042641.155023456</v>
      </c>
      <c r="H14" s="21">
        <v>413</v>
      </c>
      <c r="I14" s="21">
        <v>219</v>
      </c>
      <c r="J14" s="21">
        <v>182</v>
      </c>
      <c r="K14" s="21">
        <v>37</v>
      </c>
      <c r="L14" s="21">
        <v>194</v>
      </c>
      <c r="M14" s="21">
        <v>82</v>
      </c>
      <c r="N14" s="21">
        <v>112</v>
      </c>
    </row>
    <row r="15" spans="1:14" ht="16.5" customHeight="1">
      <c r="A15" s="22" t="s">
        <v>134</v>
      </c>
      <c r="B15" s="21" t="s">
        <v>34</v>
      </c>
      <c r="C15" s="21">
        <v>639658799.08867621</v>
      </c>
      <c r="D15" s="21">
        <v>198509394.02690959</v>
      </c>
      <c r="E15" s="21">
        <v>153917688.91429001</v>
      </c>
      <c r="F15" s="21">
        <v>207723422.0552772</v>
      </c>
      <c r="G15" s="21">
        <v>79508294.092199445</v>
      </c>
      <c r="H15" s="21">
        <v>328</v>
      </c>
      <c r="I15" s="21">
        <v>174</v>
      </c>
      <c r="J15" s="21">
        <v>137</v>
      </c>
      <c r="K15" s="21">
        <v>37</v>
      </c>
      <c r="L15" s="21">
        <v>154</v>
      </c>
      <c r="M15" s="21">
        <v>138</v>
      </c>
      <c r="N15" s="21">
        <v>16</v>
      </c>
    </row>
    <row r="16" spans="1:14" ht="16.5" customHeight="1">
      <c r="A16" s="22" t="s">
        <v>135</v>
      </c>
      <c r="B16" s="21" t="s">
        <v>35</v>
      </c>
      <c r="C16" s="21">
        <v>278572219.05362415</v>
      </c>
      <c r="D16" s="21">
        <v>62140395.26568725</v>
      </c>
      <c r="E16" s="21">
        <v>51786200.806565873</v>
      </c>
      <c r="F16" s="21">
        <v>68111445.279647157</v>
      </c>
      <c r="G16" s="21">
        <v>96534177.701723889</v>
      </c>
      <c r="H16" s="21">
        <v>295</v>
      </c>
      <c r="I16" s="21">
        <v>156</v>
      </c>
      <c r="J16" s="21">
        <v>130</v>
      </c>
      <c r="K16" s="21">
        <v>26</v>
      </c>
      <c r="L16" s="21">
        <v>139</v>
      </c>
      <c r="M16" s="21">
        <v>119</v>
      </c>
      <c r="N16" s="21">
        <v>20</v>
      </c>
    </row>
    <row r="17" spans="1:14" ht="16.5" customHeight="1">
      <c r="A17" s="22" t="s">
        <v>136</v>
      </c>
      <c r="B17" s="21" t="s">
        <v>36</v>
      </c>
      <c r="C17" s="21">
        <v>150740714.74106422</v>
      </c>
      <c r="D17" s="21">
        <v>55062563.0264742</v>
      </c>
      <c r="E17" s="21">
        <v>27662993.66561785</v>
      </c>
      <c r="F17" s="21">
        <v>22585866.335092779</v>
      </c>
      <c r="G17" s="21">
        <v>45429291.713879399</v>
      </c>
      <c r="H17" s="21">
        <v>275</v>
      </c>
      <c r="I17" s="21">
        <v>145</v>
      </c>
      <c r="J17" s="21">
        <v>97</v>
      </c>
      <c r="K17" s="21">
        <v>48</v>
      </c>
      <c r="L17" s="21">
        <v>130</v>
      </c>
      <c r="M17" s="21">
        <v>51</v>
      </c>
      <c r="N17" s="21">
        <v>79</v>
      </c>
    </row>
    <row r="18" spans="1:14" ht="16.5" customHeight="1">
      <c r="A18" s="22" t="s">
        <v>137</v>
      </c>
      <c r="B18" s="21" t="s">
        <v>37</v>
      </c>
      <c r="C18" s="21">
        <v>487876949.30910599</v>
      </c>
      <c r="D18" s="21">
        <v>76074451.706759512</v>
      </c>
      <c r="E18" s="21">
        <v>153184278.59387481</v>
      </c>
      <c r="F18" s="21">
        <v>105023120.73049019</v>
      </c>
      <c r="G18" s="21">
        <v>153595098.27798149</v>
      </c>
      <c r="H18" s="21">
        <v>405</v>
      </c>
      <c r="I18" s="21">
        <v>214</v>
      </c>
      <c r="J18" s="21">
        <v>78</v>
      </c>
      <c r="K18" s="21">
        <v>136</v>
      </c>
      <c r="L18" s="21">
        <v>191</v>
      </c>
      <c r="M18" s="21">
        <v>69</v>
      </c>
      <c r="N18" s="21">
        <v>122</v>
      </c>
    </row>
    <row r="19" spans="1:14" ht="16.5" customHeight="1">
      <c r="A19" s="22" t="s">
        <v>138</v>
      </c>
      <c r="B19" s="21" t="s">
        <v>38</v>
      </c>
      <c r="C19" s="21">
        <v>244530585.68388343</v>
      </c>
      <c r="D19" s="21">
        <v>66198871.684846133</v>
      </c>
      <c r="E19" s="21">
        <v>70401850.621690974</v>
      </c>
      <c r="F19" s="21">
        <v>78322225.834279269</v>
      </c>
      <c r="G19" s="21">
        <v>29607637.54306706</v>
      </c>
      <c r="H19" s="21">
        <v>391</v>
      </c>
      <c r="I19" s="21">
        <v>207</v>
      </c>
      <c r="J19" s="21">
        <v>75</v>
      </c>
      <c r="K19" s="21">
        <v>132</v>
      </c>
      <c r="L19" s="21">
        <v>184</v>
      </c>
      <c r="M19" s="21">
        <v>165</v>
      </c>
      <c r="N19" s="21">
        <v>19</v>
      </c>
    </row>
    <row r="20" spans="1:14" ht="16.5" customHeight="1">
      <c r="A20" s="22" t="s">
        <v>139</v>
      </c>
      <c r="B20" s="21" t="s">
        <v>39</v>
      </c>
      <c r="C20" s="21">
        <v>281445209.70769811</v>
      </c>
      <c r="D20" s="21">
        <v>53662390.90696945</v>
      </c>
      <c r="E20" s="21">
        <v>63060895.095535778</v>
      </c>
      <c r="F20" s="21">
        <v>61219026.9945288</v>
      </c>
      <c r="G20" s="21">
        <v>103502896.71066409</v>
      </c>
      <c r="H20" s="21">
        <v>109</v>
      </c>
      <c r="I20" s="21">
        <v>57</v>
      </c>
      <c r="J20" s="21">
        <v>36</v>
      </c>
      <c r="K20" s="21">
        <v>21</v>
      </c>
      <c r="L20" s="21">
        <v>52</v>
      </c>
      <c r="M20" s="21">
        <v>30</v>
      </c>
      <c r="N20" s="21">
        <v>22</v>
      </c>
    </row>
    <row r="21" spans="1:14" ht="16.5" customHeight="1">
      <c r="A21" s="22" t="s">
        <v>140</v>
      </c>
      <c r="B21" s="21" t="s">
        <v>40</v>
      </c>
      <c r="C21" s="21">
        <v>190300257.51381618</v>
      </c>
      <c r="D21" s="21">
        <v>46562656.245431557</v>
      </c>
      <c r="E21" s="21">
        <v>54183451.721761167</v>
      </c>
      <c r="F21" s="21">
        <v>65889707.051940627</v>
      </c>
      <c r="G21" s="21">
        <v>23664442.49468283</v>
      </c>
      <c r="H21" s="21">
        <v>36</v>
      </c>
      <c r="I21" s="21">
        <v>19</v>
      </c>
      <c r="J21" s="21">
        <v>13</v>
      </c>
      <c r="K21" s="21">
        <v>6</v>
      </c>
      <c r="L21" s="21">
        <v>17</v>
      </c>
      <c r="M21" s="21">
        <v>12</v>
      </c>
      <c r="N21" s="21">
        <v>5</v>
      </c>
    </row>
    <row r="22" spans="1:14" ht="16.5" customHeight="1">
      <c r="A22" s="22" t="s">
        <v>141</v>
      </c>
      <c r="B22" s="21" t="s">
        <v>41</v>
      </c>
      <c r="C22" s="21">
        <v>313013247.04319614</v>
      </c>
      <c r="D22" s="21">
        <v>99869384.084358558</v>
      </c>
      <c r="E22" s="21">
        <v>85304413.715025112</v>
      </c>
      <c r="F22" s="21">
        <v>74066168.964816079</v>
      </c>
      <c r="G22" s="21">
        <v>53773280.278996423</v>
      </c>
      <c r="H22" s="21">
        <v>369</v>
      </c>
      <c r="I22" s="21">
        <v>195</v>
      </c>
      <c r="J22" s="21">
        <v>107</v>
      </c>
      <c r="K22" s="21">
        <v>88</v>
      </c>
      <c r="L22" s="21">
        <v>174</v>
      </c>
      <c r="M22" s="21">
        <v>103</v>
      </c>
      <c r="N22" s="21">
        <v>71</v>
      </c>
    </row>
    <row r="23" spans="1:14" ht="16.5" customHeight="1">
      <c r="A23" s="22" t="s">
        <v>142</v>
      </c>
      <c r="B23" s="21" t="s">
        <v>42</v>
      </c>
      <c r="C23" s="21">
        <v>687455422.30126023</v>
      </c>
      <c r="D23" s="21">
        <v>177826748.85132131</v>
      </c>
      <c r="E23" s="21">
        <v>186815071.88642749</v>
      </c>
      <c r="F23" s="21">
        <v>123685190.17296439</v>
      </c>
      <c r="G23" s="21">
        <v>199128411.3905471</v>
      </c>
      <c r="H23" s="21">
        <v>265</v>
      </c>
      <c r="I23" s="21">
        <v>140</v>
      </c>
      <c r="J23" s="21">
        <v>53</v>
      </c>
      <c r="K23" s="21">
        <v>87</v>
      </c>
      <c r="L23" s="21">
        <v>125</v>
      </c>
      <c r="M23" s="21">
        <v>99</v>
      </c>
      <c r="N23" s="21">
        <v>26</v>
      </c>
    </row>
    <row r="24" spans="1:14" ht="16.5" customHeight="1">
      <c r="A24" s="22" t="s">
        <v>143</v>
      </c>
      <c r="B24" s="21" t="s">
        <v>43</v>
      </c>
      <c r="C24" s="21">
        <v>656353199.98872483</v>
      </c>
      <c r="D24" s="21">
        <v>208664673.2782355</v>
      </c>
      <c r="E24" s="21">
        <v>120281107.7470942</v>
      </c>
      <c r="F24" s="21">
        <v>220339545.27308071</v>
      </c>
      <c r="G24" s="21">
        <v>107067873.6903144</v>
      </c>
      <c r="H24" s="21">
        <v>220</v>
      </c>
      <c r="I24" s="21">
        <v>116</v>
      </c>
      <c r="J24" s="21">
        <v>56</v>
      </c>
      <c r="K24" s="21">
        <v>60</v>
      </c>
      <c r="L24" s="21">
        <v>104</v>
      </c>
      <c r="M24" s="21">
        <v>37</v>
      </c>
      <c r="N24" s="21">
        <v>67</v>
      </c>
    </row>
    <row r="25" spans="1:14" ht="16.5" customHeight="1">
      <c r="A25" s="22" t="s">
        <v>144</v>
      </c>
      <c r="B25" s="21" t="s">
        <v>44</v>
      </c>
      <c r="C25" s="21">
        <v>389329112.13290787</v>
      </c>
      <c r="D25" s="21">
        <v>92333919.616336256</v>
      </c>
      <c r="E25" s="21">
        <v>121784937.3964586</v>
      </c>
      <c r="F25" s="21">
        <v>90852260.360516772</v>
      </c>
      <c r="G25" s="21">
        <v>84357994.759596244</v>
      </c>
      <c r="H25" s="21">
        <v>82</v>
      </c>
      <c r="I25" s="21">
        <v>43</v>
      </c>
      <c r="J25" s="21">
        <v>15</v>
      </c>
      <c r="K25" s="21">
        <v>28</v>
      </c>
      <c r="L25" s="21">
        <v>39</v>
      </c>
      <c r="M25" s="21">
        <v>21</v>
      </c>
      <c r="N25" s="21">
        <v>18</v>
      </c>
    </row>
    <row r="26" spans="1:14" ht="16.5" customHeight="1">
      <c r="A26" s="22" t="s">
        <v>145</v>
      </c>
      <c r="B26" s="21" t="s">
        <v>45</v>
      </c>
      <c r="C26" s="21">
        <v>267044070.20149261</v>
      </c>
      <c r="D26" s="21">
        <v>56229388.312319949</v>
      </c>
      <c r="E26" s="21">
        <v>62093992.544790611</v>
      </c>
      <c r="F26" s="21">
        <v>46632120.726107553</v>
      </c>
      <c r="G26" s="21">
        <v>102088568.6182745</v>
      </c>
      <c r="H26" s="21">
        <v>265</v>
      </c>
      <c r="I26" s="21">
        <v>140</v>
      </c>
      <c r="J26" s="21">
        <v>126</v>
      </c>
      <c r="K26" s="21">
        <v>14</v>
      </c>
      <c r="L26" s="21">
        <v>125</v>
      </c>
      <c r="M26" s="21">
        <v>62</v>
      </c>
      <c r="N26" s="21">
        <v>63</v>
      </c>
    </row>
    <row r="27" spans="1:14" ht="16.5" customHeight="1">
      <c r="A27" s="22" t="s">
        <v>146</v>
      </c>
      <c r="B27" s="21" t="s">
        <v>46</v>
      </c>
      <c r="C27" s="21">
        <v>370367146.7595104</v>
      </c>
      <c r="D27" s="21">
        <v>67080117.336207233</v>
      </c>
      <c r="E27" s="21">
        <v>75893178.71371308</v>
      </c>
      <c r="F27" s="21">
        <v>126336534.28310549</v>
      </c>
      <c r="G27" s="21">
        <v>101057316.4264846</v>
      </c>
      <c r="H27" s="21">
        <v>139</v>
      </c>
      <c r="I27" s="21">
        <v>73</v>
      </c>
      <c r="J27" s="21">
        <v>25</v>
      </c>
      <c r="K27" s="21">
        <v>48</v>
      </c>
      <c r="L27" s="21">
        <v>66</v>
      </c>
      <c r="M27" s="21">
        <v>49</v>
      </c>
      <c r="N27" s="21">
        <v>17</v>
      </c>
    </row>
    <row r="28" spans="1:14" ht="16.5" customHeight="1">
      <c r="A28" s="22" t="s">
        <v>147</v>
      </c>
      <c r="B28" s="21" t="s">
        <v>47</v>
      </c>
      <c r="C28" s="21">
        <v>477497242.34420073</v>
      </c>
      <c r="D28" s="21">
        <v>98207429.679327086</v>
      </c>
      <c r="E28" s="21">
        <v>140195016.92859769</v>
      </c>
      <c r="F28" s="21">
        <v>122391955.2678885</v>
      </c>
      <c r="G28" s="21">
        <v>116702840.4683875</v>
      </c>
      <c r="H28" s="21">
        <v>365</v>
      </c>
      <c r="I28" s="21">
        <v>193</v>
      </c>
      <c r="J28" s="21">
        <v>175</v>
      </c>
      <c r="K28" s="21">
        <v>18</v>
      </c>
      <c r="L28" s="21">
        <v>172</v>
      </c>
      <c r="M28" s="21">
        <v>69</v>
      </c>
      <c r="N28" s="21">
        <v>103</v>
      </c>
    </row>
    <row r="29" spans="1:14" ht="16.5" customHeight="1">
      <c r="A29" s="22" t="s">
        <v>148</v>
      </c>
      <c r="B29" s="21" t="s">
        <v>48</v>
      </c>
      <c r="C29" s="21">
        <v>470064456.64129508</v>
      </c>
      <c r="D29" s="21">
        <v>138120038.31219479</v>
      </c>
      <c r="E29" s="21">
        <v>80416154.913432807</v>
      </c>
      <c r="F29" s="21">
        <v>149486809.3505339</v>
      </c>
      <c r="G29" s="21">
        <v>102041454.0651336</v>
      </c>
      <c r="H29" s="21">
        <v>124</v>
      </c>
      <c r="I29" s="21">
        <v>65</v>
      </c>
      <c r="J29" s="21">
        <v>41</v>
      </c>
      <c r="K29" s="21">
        <v>24</v>
      </c>
      <c r="L29" s="21">
        <v>59</v>
      </c>
      <c r="M29" s="21">
        <v>53</v>
      </c>
      <c r="N29" s="21">
        <v>6</v>
      </c>
    </row>
    <row r="30" spans="1:14" ht="16.5" customHeight="1">
      <c r="A30" s="22" t="s">
        <v>149</v>
      </c>
      <c r="B30" s="21" t="s">
        <v>49</v>
      </c>
      <c r="C30" s="21">
        <v>134017662.83370204</v>
      </c>
      <c r="D30" s="21">
        <v>55116641.39552293</v>
      </c>
      <c r="E30" s="21">
        <v>25774349.366289131</v>
      </c>
      <c r="F30" s="21">
        <v>19045577.382123381</v>
      </c>
      <c r="G30" s="21">
        <v>34081094.689766601</v>
      </c>
      <c r="H30" s="21">
        <v>251</v>
      </c>
      <c r="I30" s="21">
        <v>133</v>
      </c>
      <c r="J30" s="21">
        <v>121</v>
      </c>
      <c r="K30" s="21">
        <v>12</v>
      </c>
      <c r="L30" s="21">
        <v>118</v>
      </c>
      <c r="M30" s="21">
        <v>69</v>
      </c>
      <c r="N30" s="21">
        <v>49</v>
      </c>
    </row>
    <row r="31" spans="1:14" ht="16.5" customHeight="1">
      <c r="A31" s="22" t="s">
        <v>150</v>
      </c>
      <c r="B31" s="21" t="s">
        <v>50</v>
      </c>
      <c r="C31" s="21">
        <v>420195407.43634659</v>
      </c>
      <c r="D31" s="21">
        <v>97355129.348844305</v>
      </c>
      <c r="E31" s="21">
        <v>124106429.05964141</v>
      </c>
      <c r="F31" s="21">
        <v>77361098.701694101</v>
      </c>
      <c r="G31" s="21">
        <v>121372750.32616679</v>
      </c>
      <c r="H31" s="21">
        <v>184</v>
      </c>
      <c r="I31" s="21">
        <v>97</v>
      </c>
      <c r="J31" s="21">
        <v>46</v>
      </c>
      <c r="K31" s="21">
        <v>51</v>
      </c>
      <c r="L31" s="21">
        <v>87</v>
      </c>
      <c r="M31" s="21">
        <v>77</v>
      </c>
      <c r="N31" s="21">
        <v>10</v>
      </c>
    </row>
    <row r="32" spans="1:14" ht="16.5" customHeight="1">
      <c r="A32" s="22" t="s">
        <v>151</v>
      </c>
      <c r="B32" s="21" t="s">
        <v>51</v>
      </c>
      <c r="C32" s="21">
        <v>310259980.90881634</v>
      </c>
      <c r="D32" s="21">
        <v>52668837.423032723</v>
      </c>
      <c r="E32" s="21">
        <v>79689115.252540216</v>
      </c>
      <c r="F32" s="21">
        <v>110254667.13652571</v>
      </c>
      <c r="G32" s="21">
        <v>67647361.0967177</v>
      </c>
      <c r="H32" s="21">
        <v>321</v>
      </c>
      <c r="I32" s="21">
        <v>170</v>
      </c>
      <c r="J32" s="21">
        <v>139</v>
      </c>
      <c r="K32" s="21">
        <v>31</v>
      </c>
      <c r="L32" s="21">
        <v>151</v>
      </c>
      <c r="M32" s="21">
        <v>68</v>
      </c>
      <c r="N32" s="21">
        <v>83</v>
      </c>
    </row>
    <row r="33" spans="1:14" ht="16.5" customHeight="1">
      <c r="A33" s="22" t="s">
        <v>152</v>
      </c>
      <c r="B33" s="21" t="s">
        <v>52</v>
      </c>
      <c r="C33" s="21">
        <v>902184015.01997161</v>
      </c>
      <c r="D33" s="21">
        <v>242854263.97915369</v>
      </c>
      <c r="E33" s="21">
        <v>146894869.31812629</v>
      </c>
      <c r="F33" s="21">
        <v>215929713.2871145</v>
      </c>
      <c r="G33" s="21">
        <v>296505168.43557709</v>
      </c>
      <c r="H33" s="21">
        <v>20</v>
      </c>
      <c r="I33" s="21">
        <v>10</v>
      </c>
      <c r="J33" s="21">
        <v>8</v>
      </c>
      <c r="K33" s="21">
        <v>2</v>
      </c>
      <c r="L33" s="21">
        <v>10</v>
      </c>
      <c r="M33" s="21">
        <v>7</v>
      </c>
      <c r="N33" s="21">
        <v>3</v>
      </c>
    </row>
    <row r="34" spans="1:14" ht="16.5" customHeight="1">
      <c r="A34" s="22" t="s">
        <v>153</v>
      </c>
      <c r="B34" s="21" t="s">
        <v>53</v>
      </c>
      <c r="C34" s="21">
        <v>222308181.88240254</v>
      </c>
      <c r="D34" s="21">
        <v>65193784.252220973</v>
      </c>
      <c r="E34" s="21">
        <v>52341204.071751043</v>
      </c>
      <c r="F34" s="21">
        <v>53025730.364898831</v>
      </c>
      <c r="G34" s="21">
        <v>51747463.193531707</v>
      </c>
      <c r="H34" s="21">
        <v>212</v>
      </c>
      <c r="I34" s="21">
        <v>112</v>
      </c>
      <c r="J34" s="21">
        <v>56</v>
      </c>
      <c r="K34" s="21">
        <v>56</v>
      </c>
      <c r="L34" s="21">
        <v>100</v>
      </c>
      <c r="M34" s="21">
        <v>61</v>
      </c>
      <c r="N34" s="21">
        <v>39</v>
      </c>
    </row>
    <row r="35" spans="1:14" ht="16.5" customHeight="1">
      <c r="A35" s="22" t="s">
        <v>154</v>
      </c>
      <c r="B35" s="21" t="s">
        <v>54</v>
      </c>
      <c r="C35" s="21">
        <v>660077295.05905211</v>
      </c>
      <c r="D35" s="21">
        <v>180210995.44220909</v>
      </c>
      <c r="E35" s="21">
        <v>164348415.08849651</v>
      </c>
      <c r="F35" s="21">
        <v>121013293.67505661</v>
      </c>
      <c r="G35" s="21">
        <v>194504590.85328999</v>
      </c>
      <c r="H35" s="21">
        <v>290</v>
      </c>
      <c r="I35" s="21">
        <v>153</v>
      </c>
      <c r="J35" s="21">
        <v>105</v>
      </c>
      <c r="K35" s="21">
        <v>48</v>
      </c>
      <c r="L35" s="21">
        <v>137</v>
      </c>
      <c r="M35" s="21">
        <v>48</v>
      </c>
      <c r="N35" s="21">
        <v>89</v>
      </c>
    </row>
    <row r="36" spans="1:14" ht="16.5" customHeight="1">
      <c r="A36" s="22" t="s">
        <v>155</v>
      </c>
      <c r="B36" s="21" t="s">
        <v>55</v>
      </c>
      <c r="C36" s="21">
        <v>521054442.65670085</v>
      </c>
      <c r="D36" s="21">
        <v>91953532.042580143</v>
      </c>
      <c r="E36" s="21">
        <v>180171363.5509643</v>
      </c>
      <c r="F36" s="21">
        <v>139014581.2488499</v>
      </c>
      <c r="G36" s="21">
        <v>109914965.8143065</v>
      </c>
      <c r="H36" s="21">
        <v>361</v>
      </c>
      <c r="I36" s="21">
        <v>191</v>
      </c>
      <c r="J36" s="21">
        <v>153</v>
      </c>
      <c r="K36" s="21">
        <v>38</v>
      </c>
      <c r="L36" s="21">
        <v>170</v>
      </c>
      <c r="M36" s="21">
        <v>90</v>
      </c>
      <c r="N36" s="21">
        <v>80</v>
      </c>
    </row>
    <row r="37" spans="1:14" ht="16.5" customHeight="1">
      <c r="A37" s="22" t="s">
        <v>156</v>
      </c>
      <c r="B37" s="21" t="s">
        <v>56</v>
      </c>
      <c r="C37" s="21">
        <v>526462842.17192364</v>
      </c>
      <c r="D37" s="21">
        <v>66079719.19099661</v>
      </c>
      <c r="E37" s="21">
        <v>169780375.56029159</v>
      </c>
      <c r="F37" s="21">
        <v>115127792.14506461</v>
      </c>
      <c r="G37" s="21">
        <v>175474955.27557081</v>
      </c>
      <c r="H37" s="21">
        <v>53</v>
      </c>
      <c r="I37" s="21">
        <v>28</v>
      </c>
      <c r="J37" s="21">
        <v>10</v>
      </c>
      <c r="K37" s="21">
        <v>18</v>
      </c>
      <c r="L37" s="21">
        <v>25</v>
      </c>
      <c r="M37" s="21">
        <v>10</v>
      </c>
      <c r="N37" s="21">
        <v>15</v>
      </c>
    </row>
    <row r="38" spans="1:14" ht="16.5" customHeight="1">
      <c r="A38" s="22" t="s">
        <v>157</v>
      </c>
      <c r="B38" s="21" t="s">
        <v>57</v>
      </c>
      <c r="C38" s="21">
        <v>253250094.33797285</v>
      </c>
      <c r="D38" s="21">
        <v>56434926.548626997</v>
      </c>
      <c r="E38" s="21">
        <v>93180785.404906288</v>
      </c>
      <c r="F38" s="21">
        <v>56862990.8122067</v>
      </c>
      <c r="G38" s="21">
        <v>46771391.57223288</v>
      </c>
      <c r="H38" s="21">
        <v>485</v>
      </c>
      <c r="I38" s="21">
        <v>257</v>
      </c>
      <c r="J38" s="21">
        <v>143</v>
      </c>
      <c r="K38" s="21">
        <v>114</v>
      </c>
      <c r="L38" s="21">
        <v>228</v>
      </c>
      <c r="M38" s="21">
        <v>138</v>
      </c>
      <c r="N38" s="21">
        <v>90</v>
      </c>
    </row>
    <row r="39" spans="1:14" ht="16.5" customHeight="1">
      <c r="A39" s="22" t="s">
        <v>158</v>
      </c>
      <c r="B39" s="21" t="s">
        <v>58</v>
      </c>
      <c r="C39" s="21">
        <v>243045517.63986018</v>
      </c>
      <c r="D39" s="21">
        <v>87806817.930168033</v>
      </c>
      <c r="E39" s="21">
        <v>54993580.742246263</v>
      </c>
      <c r="F39" s="21">
        <v>58316861.911192</v>
      </c>
      <c r="G39" s="21">
        <v>41928257.056253873</v>
      </c>
      <c r="H39" s="21">
        <v>151</v>
      </c>
      <c r="I39" s="21">
        <v>80</v>
      </c>
      <c r="J39" s="21">
        <v>27</v>
      </c>
      <c r="K39" s="21">
        <v>53</v>
      </c>
      <c r="L39" s="21">
        <v>71</v>
      </c>
      <c r="M39" s="21">
        <v>35</v>
      </c>
      <c r="N39" s="21">
        <v>36</v>
      </c>
    </row>
    <row r="40" spans="1:14" ht="16.5" customHeight="1">
      <c r="A40" s="22" t="s">
        <v>159</v>
      </c>
      <c r="B40" s="21" t="s">
        <v>59</v>
      </c>
      <c r="C40" s="21">
        <v>123902121.82908729</v>
      </c>
      <c r="D40" s="21">
        <v>35033666.671454899</v>
      </c>
      <c r="E40" s="21">
        <v>20495376.368396729</v>
      </c>
      <c r="F40" s="21">
        <v>19999982.308904991</v>
      </c>
      <c r="G40" s="21">
        <v>48373096.480330668</v>
      </c>
      <c r="H40" s="21">
        <v>472</v>
      </c>
      <c r="I40" s="21">
        <v>250</v>
      </c>
      <c r="J40" s="21">
        <v>131</v>
      </c>
      <c r="K40" s="21">
        <v>119</v>
      </c>
      <c r="L40" s="21">
        <v>222</v>
      </c>
      <c r="M40" s="21">
        <v>94</v>
      </c>
      <c r="N40" s="21">
        <v>128</v>
      </c>
    </row>
    <row r="41" spans="1:14" ht="16.5" customHeight="1">
      <c r="A41" s="22" t="s">
        <v>160</v>
      </c>
      <c r="B41" s="21" t="s">
        <v>60</v>
      </c>
      <c r="C41" s="21">
        <v>168413590.80474389</v>
      </c>
      <c r="D41" s="21">
        <v>36243881.500386797</v>
      </c>
      <c r="E41" s="21">
        <v>38148818.559294313</v>
      </c>
      <c r="F41" s="21">
        <v>25931636.385862932</v>
      </c>
      <c r="G41" s="21">
        <v>68089254.359199852</v>
      </c>
      <c r="H41" s="21">
        <v>65</v>
      </c>
      <c r="I41" s="21">
        <v>34</v>
      </c>
      <c r="J41" s="21">
        <v>33</v>
      </c>
      <c r="K41" s="21">
        <v>1</v>
      </c>
      <c r="L41" s="21">
        <v>31</v>
      </c>
      <c r="M41" s="21">
        <v>28</v>
      </c>
      <c r="N41" s="21">
        <v>3</v>
      </c>
    </row>
    <row r="42" spans="1:14" ht="16.5" customHeight="1">
      <c r="A42" s="22" t="s">
        <v>161</v>
      </c>
      <c r="B42" s="21" t="s">
        <v>61</v>
      </c>
      <c r="C42" s="21">
        <v>754288790.67390692</v>
      </c>
      <c r="D42" s="21">
        <v>249249285.7896283</v>
      </c>
      <c r="E42" s="21">
        <v>173120575.90626991</v>
      </c>
      <c r="F42" s="21">
        <v>234317840.15419811</v>
      </c>
      <c r="G42" s="21">
        <v>97601088.823810682</v>
      </c>
      <c r="H42" s="21">
        <v>15</v>
      </c>
      <c r="I42" s="21">
        <v>7</v>
      </c>
      <c r="J42" s="21">
        <v>4</v>
      </c>
      <c r="K42" s="21">
        <v>3</v>
      </c>
      <c r="L42" s="21">
        <v>8</v>
      </c>
      <c r="M42" s="21">
        <v>4</v>
      </c>
      <c r="N42" s="21">
        <v>4</v>
      </c>
    </row>
    <row r="43" spans="1:14" ht="16.5" customHeight="1">
      <c r="A43" s="22" t="s">
        <v>162</v>
      </c>
      <c r="B43" s="21" t="s">
        <v>62</v>
      </c>
      <c r="C43" s="21">
        <v>454771341.07419926</v>
      </c>
      <c r="D43" s="21">
        <v>154703622.63707489</v>
      </c>
      <c r="E43" s="21">
        <v>81736952.12733002</v>
      </c>
      <c r="F43" s="21">
        <v>145372266.95529121</v>
      </c>
      <c r="G43" s="21">
        <v>72958499.354503155</v>
      </c>
      <c r="H43" s="21">
        <v>417</v>
      </c>
      <c r="I43" s="21">
        <v>221</v>
      </c>
      <c r="J43" s="21">
        <v>176</v>
      </c>
      <c r="K43" s="21">
        <v>45</v>
      </c>
      <c r="L43" s="21">
        <v>196</v>
      </c>
      <c r="M43" s="21">
        <v>102</v>
      </c>
      <c r="N43" s="21">
        <v>94</v>
      </c>
    </row>
    <row r="44" spans="1:14" ht="16.5" customHeight="1">
      <c r="A44" s="22" t="s">
        <v>163</v>
      </c>
      <c r="B44" s="21" t="s">
        <v>63</v>
      </c>
      <c r="C44" s="21">
        <v>454832550.09039301</v>
      </c>
      <c r="D44" s="21">
        <v>155750574.39192039</v>
      </c>
      <c r="E44" s="21">
        <v>82022539.517184496</v>
      </c>
      <c r="F44" s="21">
        <v>102397320.9936575</v>
      </c>
      <c r="G44" s="21">
        <v>114662115.18763059</v>
      </c>
      <c r="H44" s="21">
        <v>52</v>
      </c>
      <c r="I44" s="21">
        <v>27</v>
      </c>
      <c r="J44" s="21">
        <v>12</v>
      </c>
      <c r="K44" s="21">
        <v>15</v>
      </c>
      <c r="L44" s="21">
        <v>25</v>
      </c>
      <c r="M44" s="21">
        <v>9</v>
      </c>
      <c r="N44" s="21">
        <v>16</v>
      </c>
    </row>
    <row r="45" spans="1:14" ht="16.5" customHeight="1">
      <c r="A45" s="22" t="s">
        <v>164</v>
      </c>
      <c r="B45" s="21" t="s">
        <v>64</v>
      </c>
      <c r="C45" s="21">
        <v>280362125.65598965</v>
      </c>
      <c r="D45" s="21">
        <v>45469385.125951111</v>
      </c>
      <c r="E45" s="21">
        <v>86178578.476658776</v>
      </c>
      <c r="F45" s="21">
        <v>55912319.607705086</v>
      </c>
      <c r="G45" s="21">
        <v>92801842.445674628</v>
      </c>
      <c r="H45" s="21">
        <v>113</v>
      </c>
      <c r="I45" s="21">
        <v>59</v>
      </c>
      <c r="J45" s="21">
        <v>52</v>
      </c>
      <c r="K45" s="21">
        <v>7</v>
      </c>
      <c r="L45" s="21">
        <v>54</v>
      </c>
      <c r="M45" s="21">
        <v>24</v>
      </c>
      <c r="N45" s="21">
        <v>30</v>
      </c>
    </row>
    <row r="46" spans="1:14" ht="16.5" customHeight="1">
      <c r="A46" s="22" t="s">
        <v>165</v>
      </c>
      <c r="B46" s="21" t="s">
        <v>65</v>
      </c>
      <c r="C46" s="21">
        <v>659751889.59479678</v>
      </c>
      <c r="D46" s="21">
        <v>204904964.29967019</v>
      </c>
      <c r="E46" s="21">
        <v>205071077.42265561</v>
      </c>
      <c r="F46" s="21">
        <v>77397015.327030927</v>
      </c>
      <c r="G46" s="21">
        <v>172378832.54544011</v>
      </c>
      <c r="H46" s="21">
        <v>59</v>
      </c>
      <c r="I46" s="21">
        <v>31</v>
      </c>
      <c r="J46" s="21">
        <v>22</v>
      </c>
      <c r="K46" s="21">
        <v>9</v>
      </c>
      <c r="L46" s="21">
        <v>28</v>
      </c>
      <c r="M46" s="21">
        <v>23</v>
      </c>
      <c r="N46" s="21">
        <v>5</v>
      </c>
    </row>
    <row r="47" spans="1:14" ht="16.5" customHeight="1">
      <c r="A47" s="22" t="s">
        <v>166</v>
      </c>
      <c r="B47" s="21" t="s">
        <v>66</v>
      </c>
      <c r="C47" s="21">
        <v>253861112.7171092</v>
      </c>
      <c r="D47" s="21">
        <v>61160868.032582507</v>
      </c>
      <c r="E47" s="21">
        <v>65815139.35894721</v>
      </c>
      <c r="F47" s="21">
        <v>51046033.134237207</v>
      </c>
      <c r="G47" s="21">
        <v>75839072.191342309</v>
      </c>
      <c r="H47" s="21">
        <v>367</v>
      </c>
      <c r="I47" s="21">
        <v>194</v>
      </c>
      <c r="J47" s="21">
        <v>89</v>
      </c>
      <c r="K47" s="21">
        <v>105</v>
      </c>
      <c r="L47" s="21">
        <v>173</v>
      </c>
      <c r="M47" s="21">
        <v>148</v>
      </c>
      <c r="N47" s="21">
        <v>25</v>
      </c>
    </row>
    <row r="48" spans="1:14" ht="16.5" customHeight="1">
      <c r="A48" s="22" t="s">
        <v>167</v>
      </c>
      <c r="B48" s="21" t="s">
        <v>67</v>
      </c>
      <c r="C48" s="21">
        <v>606916359.37955213</v>
      </c>
      <c r="D48" s="21">
        <v>135634213.22089231</v>
      </c>
      <c r="E48" s="21">
        <v>151925876.26219711</v>
      </c>
      <c r="F48" s="21">
        <v>203688473.84022039</v>
      </c>
      <c r="G48" s="21">
        <v>115667796.0562423</v>
      </c>
      <c r="H48" s="21">
        <v>368</v>
      </c>
      <c r="I48" s="21">
        <v>195</v>
      </c>
      <c r="J48" s="21">
        <v>103</v>
      </c>
      <c r="K48" s="21">
        <v>92</v>
      </c>
      <c r="L48" s="21">
        <v>173</v>
      </c>
      <c r="M48" s="21">
        <v>151</v>
      </c>
      <c r="N48" s="21">
        <v>22</v>
      </c>
    </row>
    <row r="49" spans="1:14" ht="16.5" customHeight="1">
      <c r="A49" s="22" t="s">
        <v>168</v>
      </c>
      <c r="B49" s="21" t="s">
        <v>68</v>
      </c>
      <c r="C49" s="21">
        <v>114196496.15510798</v>
      </c>
      <c r="D49" s="21">
        <v>14378634.019731419</v>
      </c>
      <c r="E49" s="21">
        <v>38049122.133855969</v>
      </c>
      <c r="F49" s="21">
        <v>38305057.333488457</v>
      </c>
      <c r="G49" s="21">
        <v>23463682.66803214</v>
      </c>
      <c r="H49" s="21">
        <v>85</v>
      </c>
      <c r="I49" s="21">
        <v>45</v>
      </c>
      <c r="J49" s="21">
        <v>17</v>
      </c>
      <c r="K49" s="21">
        <v>28</v>
      </c>
      <c r="L49" s="21">
        <v>40</v>
      </c>
      <c r="M49" s="21">
        <v>21</v>
      </c>
      <c r="N49" s="21">
        <v>19</v>
      </c>
    </row>
    <row r="50" spans="1:14" ht="16.5" customHeight="1">
      <c r="A50" s="22" t="s">
        <v>169</v>
      </c>
      <c r="B50" s="21" t="s">
        <v>69</v>
      </c>
      <c r="C50" s="21">
        <v>150856185.18715093</v>
      </c>
      <c r="D50" s="21">
        <v>19673314.038426701</v>
      </c>
      <c r="E50" s="21">
        <v>46415416.145599931</v>
      </c>
      <c r="F50" s="21">
        <v>55060486.075663216</v>
      </c>
      <c r="G50" s="21">
        <v>29706968.927461099</v>
      </c>
      <c r="H50" s="21">
        <v>383</v>
      </c>
      <c r="I50" s="21">
        <v>203</v>
      </c>
      <c r="J50" s="21">
        <v>197</v>
      </c>
      <c r="K50" s="21">
        <v>6</v>
      </c>
      <c r="L50" s="21">
        <v>180</v>
      </c>
      <c r="M50" s="21">
        <v>109</v>
      </c>
      <c r="N50" s="21">
        <v>71</v>
      </c>
    </row>
    <row r="51" spans="1:14" ht="16.5" customHeight="1">
      <c r="A51" s="22" t="s">
        <v>170</v>
      </c>
      <c r="B51" s="21" t="s">
        <v>70</v>
      </c>
      <c r="C51" s="21">
        <v>506530502.04813367</v>
      </c>
      <c r="D51" s="21">
        <v>158404486.82266939</v>
      </c>
      <c r="E51" s="21">
        <v>106906082.2709105</v>
      </c>
      <c r="F51" s="21">
        <v>96130546.19325757</v>
      </c>
      <c r="G51" s="21">
        <v>145089386.76129621</v>
      </c>
      <c r="H51" s="21">
        <v>450</v>
      </c>
      <c r="I51" s="21">
        <v>238</v>
      </c>
      <c r="J51" s="21">
        <v>234</v>
      </c>
      <c r="K51" s="21">
        <v>4</v>
      </c>
      <c r="L51" s="21">
        <v>212</v>
      </c>
      <c r="M51" s="21">
        <v>196</v>
      </c>
      <c r="N51" s="21">
        <v>16</v>
      </c>
    </row>
    <row r="52" spans="1:14" ht="16.5" customHeight="1">
      <c r="A52" s="22" t="s">
        <v>171</v>
      </c>
      <c r="B52" s="21" t="s">
        <v>71</v>
      </c>
      <c r="C52" s="21">
        <v>654196724.52814674</v>
      </c>
      <c r="D52" s="21">
        <v>192626800.82527909</v>
      </c>
      <c r="E52" s="21">
        <v>123442876.28589649</v>
      </c>
      <c r="F52" s="21">
        <v>230999772.96169549</v>
      </c>
      <c r="G52" s="21">
        <v>107127274.4552757</v>
      </c>
      <c r="H52" s="21">
        <v>437</v>
      </c>
      <c r="I52" s="21">
        <v>231</v>
      </c>
      <c r="J52" s="21">
        <v>205</v>
      </c>
      <c r="K52" s="21">
        <v>26</v>
      </c>
      <c r="L52" s="21">
        <v>206</v>
      </c>
      <c r="M52" s="21">
        <v>183</v>
      </c>
      <c r="N52" s="21">
        <v>23</v>
      </c>
    </row>
    <row r="53" spans="1:14" ht="16.5" customHeight="1">
      <c r="A53" s="22" t="s">
        <v>172</v>
      </c>
      <c r="B53" s="21" t="s">
        <v>72</v>
      </c>
      <c r="C53" s="21">
        <v>152872194.02326354</v>
      </c>
      <c r="D53" s="21">
        <v>39171121.414211623</v>
      </c>
      <c r="E53" s="21">
        <v>34958266.190183192</v>
      </c>
      <c r="F53" s="21">
        <v>33991148.909051463</v>
      </c>
      <c r="G53" s="21">
        <v>44751657.50981725</v>
      </c>
      <c r="H53" s="21">
        <v>162</v>
      </c>
      <c r="I53" s="21">
        <v>85</v>
      </c>
      <c r="J53" s="21">
        <v>84</v>
      </c>
      <c r="K53" s="21">
        <v>1</v>
      </c>
      <c r="L53" s="21">
        <v>77</v>
      </c>
      <c r="M53" s="21">
        <v>33</v>
      </c>
      <c r="N53" s="21">
        <v>44</v>
      </c>
    </row>
    <row r="54" spans="1:14" ht="16.5" customHeight="1">
      <c r="A54" s="22" t="s">
        <v>173</v>
      </c>
      <c r="B54" s="21" t="s">
        <v>73</v>
      </c>
      <c r="C54" s="21">
        <v>745219439.28549099</v>
      </c>
      <c r="D54" s="21">
        <v>197355560.6604684</v>
      </c>
      <c r="E54" s="21">
        <v>125122669.2347842</v>
      </c>
      <c r="F54" s="21">
        <v>193399123.37219259</v>
      </c>
      <c r="G54" s="21">
        <v>229342086.01804581</v>
      </c>
      <c r="H54" s="21">
        <v>347</v>
      </c>
      <c r="I54" s="21">
        <v>184</v>
      </c>
      <c r="J54" s="21">
        <v>139</v>
      </c>
      <c r="K54" s="21">
        <v>45</v>
      </c>
      <c r="L54" s="21">
        <v>163</v>
      </c>
      <c r="M54" s="21">
        <v>102</v>
      </c>
      <c r="N54" s="21">
        <v>61</v>
      </c>
    </row>
    <row r="55" spans="1:14" ht="16.5" customHeight="1">
      <c r="A55" s="22" t="s">
        <v>174</v>
      </c>
      <c r="B55" s="21" t="s">
        <v>74</v>
      </c>
      <c r="C55" s="21">
        <v>177181565.80518109</v>
      </c>
      <c r="D55" s="21">
        <v>42336410.205780402</v>
      </c>
      <c r="E55" s="21">
        <v>50662829.355939373</v>
      </c>
      <c r="F55" s="21">
        <v>27699584.60229788</v>
      </c>
      <c r="G55" s="21">
        <v>56482741.641163424</v>
      </c>
      <c r="H55" s="21">
        <v>31</v>
      </c>
      <c r="I55" s="21">
        <v>16</v>
      </c>
      <c r="J55" s="21">
        <v>11</v>
      </c>
      <c r="K55" s="21">
        <v>5</v>
      </c>
      <c r="L55" s="21">
        <v>15</v>
      </c>
      <c r="M55" s="21">
        <v>6</v>
      </c>
      <c r="N55" s="21">
        <v>9</v>
      </c>
    </row>
    <row r="56" spans="1:14" ht="16.5" customHeight="1">
      <c r="A56" s="22" t="s">
        <v>175</v>
      </c>
      <c r="B56" s="21" t="s">
        <v>75</v>
      </c>
      <c r="C56" s="21">
        <v>882440741.29432273</v>
      </c>
      <c r="D56" s="21">
        <v>188327133.4331103</v>
      </c>
      <c r="E56" s="21">
        <v>283192318.95081681</v>
      </c>
      <c r="F56" s="21">
        <v>121375077.7402847</v>
      </c>
      <c r="G56" s="21">
        <v>289546211.170111</v>
      </c>
      <c r="H56" s="21">
        <v>488</v>
      </c>
      <c r="I56" s="21">
        <v>258</v>
      </c>
      <c r="J56" s="21">
        <v>217</v>
      </c>
      <c r="K56" s="21">
        <v>41</v>
      </c>
      <c r="L56" s="21">
        <v>230</v>
      </c>
      <c r="M56" s="21">
        <v>229</v>
      </c>
      <c r="N56" s="21">
        <v>1</v>
      </c>
    </row>
    <row r="57" spans="1:14" ht="16.5" customHeight="1">
      <c r="A57" s="22" t="s">
        <v>176</v>
      </c>
      <c r="B57" s="21" t="s">
        <v>76</v>
      </c>
      <c r="C57" s="21">
        <v>321225793.33949202</v>
      </c>
      <c r="D57" s="21">
        <v>86677967.252924576</v>
      </c>
      <c r="E57" s="21">
        <v>91332123.59877269</v>
      </c>
      <c r="F57" s="21">
        <v>58645158.227520302</v>
      </c>
      <c r="G57" s="21">
        <v>84570544.260274455</v>
      </c>
      <c r="H57" s="21">
        <v>156</v>
      </c>
      <c r="I57" s="21">
        <v>82</v>
      </c>
      <c r="J57" s="21">
        <v>61</v>
      </c>
      <c r="K57" s="21">
        <v>21</v>
      </c>
      <c r="L57" s="21">
        <v>74</v>
      </c>
      <c r="M57" s="21">
        <v>27</v>
      </c>
      <c r="N57" s="21">
        <v>47</v>
      </c>
    </row>
    <row r="58" spans="1:14" ht="16.5" customHeight="1">
      <c r="A58" s="22" t="s">
        <v>177</v>
      </c>
      <c r="B58" s="21" t="s">
        <v>77</v>
      </c>
      <c r="C58" s="21">
        <v>539402033.98586023</v>
      </c>
      <c r="D58" s="21">
        <v>157130016.56254461</v>
      </c>
      <c r="E58" s="21">
        <v>166784815.73496869</v>
      </c>
      <c r="F58" s="21">
        <v>84997885.817819774</v>
      </c>
      <c r="G58" s="21">
        <v>130489315.87052719</v>
      </c>
      <c r="H58" s="21">
        <v>73</v>
      </c>
      <c r="I58" s="21">
        <v>38</v>
      </c>
      <c r="J58" s="21">
        <v>37</v>
      </c>
      <c r="K58" s="21">
        <v>1</v>
      </c>
      <c r="L58" s="21">
        <v>35</v>
      </c>
      <c r="M58" s="21">
        <v>19</v>
      </c>
      <c r="N58" s="21">
        <v>16</v>
      </c>
    </row>
    <row r="59" spans="1:14" ht="16.5" customHeight="1">
      <c r="A59" s="22" t="s">
        <v>178</v>
      </c>
      <c r="B59" s="21" t="s">
        <v>78</v>
      </c>
      <c r="C59" s="21">
        <v>117306051.06563234</v>
      </c>
      <c r="D59" s="21">
        <v>31551931.335440151</v>
      </c>
      <c r="E59" s="21">
        <v>24014819.582178831</v>
      </c>
      <c r="F59" s="21">
        <v>26139987.765572131</v>
      </c>
      <c r="G59" s="21">
        <v>35599312.382441223</v>
      </c>
      <c r="H59" s="21">
        <v>355</v>
      </c>
      <c r="I59" s="21">
        <v>188</v>
      </c>
      <c r="J59" s="21">
        <v>175</v>
      </c>
      <c r="K59" s="21">
        <v>13</v>
      </c>
      <c r="L59" s="21">
        <v>167</v>
      </c>
      <c r="M59" s="21">
        <v>140</v>
      </c>
      <c r="N59" s="21">
        <v>27</v>
      </c>
    </row>
    <row r="60" spans="1:14" ht="16.5" customHeight="1">
      <c r="A60" s="22" t="s">
        <v>179</v>
      </c>
      <c r="B60" s="21" t="s">
        <v>79</v>
      </c>
      <c r="C60" s="21">
        <v>406029510.51026291</v>
      </c>
      <c r="D60" s="21">
        <v>97765573.126214355</v>
      </c>
      <c r="E60" s="21">
        <v>104459666.8765782</v>
      </c>
      <c r="F60" s="21">
        <v>87018485.31655702</v>
      </c>
      <c r="G60" s="21">
        <v>116785785.19091339</v>
      </c>
      <c r="H60" s="21">
        <v>39</v>
      </c>
      <c r="I60" s="21">
        <v>20</v>
      </c>
      <c r="J60" s="21">
        <v>15</v>
      </c>
      <c r="K60" s="21">
        <v>5</v>
      </c>
      <c r="L60" s="21">
        <v>19</v>
      </c>
      <c r="M60" s="21">
        <v>9</v>
      </c>
      <c r="N60" s="21">
        <v>10</v>
      </c>
    </row>
    <row r="61" spans="1:14" ht="16.5" customHeight="1">
      <c r="A61" s="22" t="s">
        <v>180</v>
      </c>
      <c r="B61" s="21" t="s">
        <v>80</v>
      </c>
      <c r="C61" s="21">
        <v>487966759.55179399</v>
      </c>
      <c r="D61" s="21">
        <v>115829093.13529681</v>
      </c>
      <c r="E61" s="21">
        <v>120728176.15502571</v>
      </c>
      <c r="F61" s="21">
        <v>165624701.43907791</v>
      </c>
      <c r="G61" s="21">
        <v>85784788.822393596</v>
      </c>
      <c r="H61" s="21">
        <v>303</v>
      </c>
      <c r="I61" s="21">
        <v>160</v>
      </c>
      <c r="J61" s="21">
        <v>64</v>
      </c>
      <c r="K61" s="21">
        <v>96</v>
      </c>
      <c r="L61" s="21">
        <v>143</v>
      </c>
      <c r="M61" s="21">
        <v>85</v>
      </c>
      <c r="N61" s="21">
        <v>58</v>
      </c>
    </row>
    <row r="62" spans="1:14" ht="16.5" customHeight="1">
      <c r="A62" s="22" t="s">
        <v>181</v>
      </c>
      <c r="B62" s="21" t="s">
        <v>81</v>
      </c>
      <c r="C62" s="21">
        <v>496637065.25153172</v>
      </c>
      <c r="D62" s="21">
        <v>86923217.306748271</v>
      </c>
      <c r="E62" s="21">
        <v>87267287.048374176</v>
      </c>
      <c r="F62" s="21">
        <v>192395984.45978871</v>
      </c>
      <c r="G62" s="21">
        <v>130050576.43662059</v>
      </c>
      <c r="H62" s="21">
        <v>443</v>
      </c>
      <c r="I62" s="21">
        <v>235</v>
      </c>
      <c r="J62" s="21">
        <v>84</v>
      </c>
      <c r="K62" s="21">
        <v>151</v>
      </c>
      <c r="L62" s="21">
        <v>208</v>
      </c>
      <c r="M62" s="21">
        <v>154</v>
      </c>
      <c r="N62" s="21">
        <v>54</v>
      </c>
    </row>
    <row r="63" spans="1:14" ht="16.5" customHeight="1">
      <c r="A63" s="22" t="s">
        <v>182</v>
      </c>
      <c r="B63" s="21" t="s">
        <v>82</v>
      </c>
      <c r="C63" s="21">
        <v>382954127.73315126</v>
      </c>
      <c r="D63" s="21">
        <v>85260403.365561813</v>
      </c>
      <c r="E63" s="21">
        <v>103084518.9165301</v>
      </c>
      <c r="F63" s="21">
        <v>61907436.060471669</v>
      </c>
      <c r="G63" s="21">
        <v>132701769.3905877</v>
      </c>
      <c r="H63" s="21">
        <v>178</v>
      </c>
      <c r="I63" s="21">
        <v>94</v>
      </c>
      <c r="J63" s="21">
        <v>92</v>
      </c>
      <c r="K63" s="21">
        <v>2</v>
      </c>
      <c r="L63" s="21">
        <v>84</v>
      </c>
      <c r="M63" s="21">
        <v>47</v>
      </c>
      <c r="N63" s="21">
        <v>37</v>
      </c>
    </row>
    <row r="64" spans="1:14" ht="16.5" customHeight="1">
      <c r="A64" s="22" t="s">
        <v>183</v>
      </c>
      <c r="B64" s="21" t="s">
        <v>83</v>
      </c>
      <c r="C64" s="21">
        <v>508931776.0559454</v>
      </c>
      <c r="D64" s="21">
        <v>70023630.604095101</v>
      </c>
      <c r="E64" s="21">
        <v>148081542.00306839</v>
      </c>
      <c r="F64" s="21">
        <v>144360894.4360117</v>
      </c>
      <c r="G64" s="21">
        <v>146465709.01277021</v>
      </c>
      <c r="H64" s="21">
        <v>372</v>
      </c>
      <c r="I64" s="21">
        <v>197</v>
      </c>
      <c r="J64" s="21">
        <v>153</v>
      </c>
      <c r="K64" s="21">
        <v>44</v>
      </c>
      <c r="L64" s="21">
        <v>175</v>
      </c>
      <c r="M64" s="21">
        <v>155</v>
      </c>
      <c r="N64" s="21">
        <v>20</v>
      </c>
    </row>
    <row r="65" spans="1:14" ht="16.5" customHeight="1">
      <c r="A65" s="22" t="s">
        <v>184</v>
      </c>
      <c r="B65" s="21" t="s">
        <v>84</v>
      </c>
      <c r="C65" s="21">
        <v>412194896.8540839</v>
      </c>
      <c r="D65" s="21">
        <v>112816239.80165531</v>
      </c>
      <c r="E65" s="21">
        <v>147976973.24980941</v>
      </c>
      <c r="F65" s="21">
        <v>75043421.59863925</v>
      </c>
      <c r="G65" s="21">
        <v>76358262.203979939</v>
      </c>
      <c r="H65" s="21">
        <v>233</v>
      </c>
      <c r="I65" s="21">
        <v>123</v>
      </c>
      <c r="J65" s="21">
        <v>75</v>
      </c>
      <c r="K65" s="21">
        <v>48</v>
      </c>
      <c r="L65" s="21">
        <v>110</v>
      </c>
      <c r="M65" s="21">
        <v>60</v>
      </c>
      <c r="N65" s="21">
        <v>50</v>
      </c>
    </row>
    <row r="66" spans="1:14" ht="16.5" customHeight="1">
      <c r="A66" s="22" t="s">
        <v>185</v>
      </c>
      <c r="B66" s="21" t="s">
        <v>85</v>
      </c>
      <c r="C66" s="21">
        <v>912359605.2100687</v>
      </c>
      <c r="D66" s="21">
        <v>207182914.36385429</v>
      </c>
      <c r="E66" s="21">
        <v>150332570.5198893</v>
      </c>
      <c r="F66" s="21">
        <v>279274388.79063672</v>
      </c>
      <c r="G66" s="21">
        <v>275569731.5356884</v>
      </c>
      <c r="H66" s="21">
        <v>113</v>
      </c>
      <c r="I66" s="21">
        <v>59</v>
      </c>
      <c r="J66" s="21">
        <v>50</v>
      </c>
      <c r="K66" s="21">
        <v>9</v>
      </c>
      <c r="L66" s="21">
        <v>54</v>
      </c>
      <c r="M66" s="21">
        <v>27</v>
      </c>
      <c r="N66" s="21">
        <v>27</v>
      </c>
    </row>
    <row r="67" spans="1:14" ht="16.5" customHeight="1">
      <c r="A67" s="22" t="s">
        <v>186</v>
      </c>
      <c r="B67" s="21" t="s">
        <v>86</v>
      </c>
      <c r="C67" s="21">
        <v>675625783.12386346</v>
      </c>
      <c r="D67" s="21">
        <v>131081906.94656821</v>
      </c>
      <c r="E67" s="21">
        <v>224921820.3371563</v>
      </c>
      <c r="F67" s="21">
        <v>194005394.18610209</v>
      </c>
      <c r="G67" s="21">
        <v>125616661.65403689</v>
      </c>
      <c r="H67" s="21">
        <v>277</v>
      </c>
      <c r="I67" s="21">
        <v>146</v>
      </c>
      <c r="J67" s="21">
        <v>98</v>
      </c>
      <c r="K67" s="21">
        <v>48</v>
      </c>
      <c r="L67" s="21">
        <v>131</v>
      </c>
      <c r="M67" s="21">
        <v>109</v>
      </c>
      <c r="N67" s="21">
        <v>22</v>
      </c>
    </row>
    <row r="68" spans="1:14" ht="16.5" customHeight="1">
      <c r="A68" s="22" t="s">
        <v>187</v>
      </c>
      <c r="B68" s="21" t="s">
        <v>87</v>
      </c>
      <c r="C68" s="21">
        <v>658517895.236848</v>
      </c>
      <c r="D68" s="21">
        <v>216039705.20517749</v>
      </c>
      <c r="E68" s="21">
        <v>189225557.232016</v>
      </c>
      <c r="F68" s="21">
        <v>128856631.321674</v>
      </c>
      <c r="G68" s="21">
        <v>124396001.47798049</v>
      </c>
      <c r="H68" s="21">
        <v>322</v>
      </c>
      <c r="I68" s="21">
        <v>170</v>
      </c>
      <c r="J68" s="21">
        <v>161</v>
      </c>
      <c r="K68" s="21">
        <v>9</v>
      </c>
      <c r="L68" s="21">
        <v>152</v>
      </c>
      <c r="M68" s="21">
        <v>152</v>
      </c>
      <c r="N68" s="21">
        <v>0</v>
      </c>
    </row>
    <row r="69" spans="1:14" ht="16.5" customHeight="1">
      <c r="A69" s="22" t="s">
        <v>188</v>
      </c>
      <c r="B69" s="21" t="s">
        <v>88</v>
      </c>
      <c r="C69" s="21">
        <v>847616298.55349839</v>
      </c>
      <c r="D69" s="21">
        <v>225899645.95836401</v>
      </c>
      <c r="E69" s="21">
        <v>277077291.79391581</v>
      </c>
      <c r="F69" s="21">
        <v>189859319.81114429</v>
      </c>
      <c r="G69" s="21">
        <v>154780040.99007431</v>
      </c>
      <c r="H69" s="21">
        <v>457</v>
      </c>
      <c r="I69" s="21">
        <v>242</v>
      </c>
      <c r="J69" s="21">
        <v>130</v>
      </c>
      <c r="K69" s="21">
        <v>112</v>
      </c>
      <c r="L69" s="21">
        <v>215</v>
      </c>
      <c r="M69" s="21">
        <v>162</v>
      </c>
      <c r="N69" s="21">
        <v>53</v>
      </c>
    </row>
    <row r="70" spans="1:14" ht="16.5" customHeight="1">
      <c r="A70" s="22" t="s">
        <v>189</v>
      </c>
      <c r="B70" s="21" t="s">
        <v>89</v>
      </c>
      <c r="C70" s="21">
        <v>505695788.9321304</v>
      </c>
      <c r="D70" s="21">
        <v>73537708.01951918</v>
      </c>
      <c r="E70" s="21">
        <v>120884813.233816</v>
      </c>
      <c r="F70" s="21">
        <v>141910362.1381357</v>
      </c>
      <c r="G70" s="21">
        <v>169362905.54065949</v>
      </c>
      <c r="H70" s="21">
        <v>152</v>
      </c>
      <c r="I70" s="21">
        <v>80</v>
      </c>
      <c r="J70" s="21">
        <v>33</v>
      </c>
      <c r="K70" s="21">
        <v>47</v>
      </c>
      <c r="L70" s="21">
        <v>72</v>
      </c>
      <c r="M70" s="21">
        <v>50</v>
      </c>
      <c r="N70" s="21">
        <v>22</v>
      </c>
    </row>
    <row r="71" spans="1:14" ht="16.5" customHeight="1">
      <c r="A71" s="22" t="s">
        <v>190</v>
      </c>
      <c r="B71" s="21" t="s">
        <v>90</v>
      </c>
      <c r="C71" s="21">
        <v>496720064.9117384</v>
      </c>
      <c r="D71" s="21">
        <v>78241657.301137865</v>
      </c>
      <c r="E71" s="21">
        <v>124694568.91352069</v>
      </c>
      <c r="F71" s="21">
        <v>156919177.3941915</v>
      </c>
      <c r="G71" s="21">
        <v>136864661.3028883</v>
      </c>
      <c r="H71" s="21">
        <v>298</v>
      </c>
      <c r="I71" s="21">
        <v>158</v>
      </c>
      <c r="J71" s="21">
        <v>96</v>
      </c>
      <c r="K71" s="21">
        <v>62</v>
      </c>
      <c r="L71" s="21">
        <v>140</v>
      </c>
      <c r="M71" s="21">
        <v>113</v>
      </c>
      <c r="N71" s="21">
        <v>27</v>
      </c>
    </row>
    <row r="72" spans="1:14" ht="16.5" customHeight="1">
      <c r="A72" s="22" t="s">
        <v>191</v>
      </c>
      <c r="B72" s="21" t="s">
        <v>91</v>
      </c>
      <c r="C72" s="21">
        <v>467860638.31456435</v>
      </c>
      <c r="D72" s="21">
        <v>101970469.5361928</v>
      </c>
      <c r="E72" s="21">
        <v>99574023.583181873</v>
      </c>
      <c r="F72" s="21">
        <v>131674810.52004489</v>
      </c>
      <c r="G72" s="21">
        <v>134641334.67514479</v>
      </c>
      <c r="H72" s="21">
        <v>203</v>
      </c>
      <c r="I72" s="21">
        <v>107</v>
      </c>
      <c r="J72" s="21">
        <v>50</v>
      </c>
      <c r="K72" s="21">
        <v>57</v>
      </c>
      <c r="L72" s="21">
        <v>96</v>
      </c>
      <c r="M72" s="21">
        <v>59</v>
      </c>
      <c r="N72" s="21">
        <v>37</v>
      </c>
    </row>
    <row r="73" spans="1:14" ht="16.5" customHeight="1">
      <c r="A73" s="22" t="s">
        <v>192</v>
      </c>
      <c r="B73" s="21" t="s">
        <v>92</v>
      </c>
      <c r="C73" s="21">
        <v>407860826.64109242</v>
      </c>
      <c r="D73" s="21">
        <v>115312156.2057616</v>
      </c>
      <c r="E73" s="21">
        <v>91135208.24936825</v>
      </c>
      <c r="F73" s="21">
        <v>95641607.33750844</v>
      </c>
      <c r="G73" s="21">
        <v>105771854.8484541</v>
      </c>
      <c r="H73" s="21">
        <v>131</v>
      </c>
      <c r="I73" s="21">
        <v>69</v>
      </c>
      <c r="J73" s="21">
        <v>69</v>
      </c>
      <c r="K73" s="21">
        <v>0</v>
      </c>
      <c r="L73" s="21">
        <v>62</v>
      </c>
      <c r="M73" s="21">
        <v>51</v>
      </c>
      <c r="N73" s="21">
        <v>11</v>
      </c>
    </row>
    <row r="74" spans="1:14" ht="16.5" customHeight="1">
      <c r="A74" s="22" t="s">
        <v>193</v>
      </c>
      <c r="B74" s="21" t="s">
        <v>93</v>
      </c>
      <c r="C74" s="21">
        <v>753128640.05517912</v>
      </c>
      <c r="D74" s="21">
        <v>160987489.61965871</v>
      </c>
      <c r="E74" s="21">
        <v>211480117.84415641</v>
      </c>
      <c r="F74" s="21">
        <v>271566681.41477609</v>
      </c>
      <c r="G74" s="21">
        <v>109094351.17658789</v>
      </c>
      <c r="H74" s="21">
        <v>383</v>
      </c>
      <c r="I74" s="21">
        <v>203</v>
      </c>
      <c r="J74" s="21">
        <v>129</v>
      </c>
      <c r="K74" s="21">
        <v>74</v>
      </c>
      <c r="L74" s="21">
        <v>180</v>
      </c>
      <c r="M74" s="21">
        <v>175</v>
      </c>
      <c r="N74" s="21">
        <v>5</v>
      </c>
    </row>
    <row r="75" spans="1:14" ht="16.5" customHeight="1">
      <c r="A75" s="22" t="s">
        <v>194</v>
      </c>
      <c r="B75" s="21" t="s">
        <v>94</v>
      </c>
      <c r="C75" s="21">
        <v>405738645.837147</v>
      </c>
      <c r="D75" s="21">
        <v>61931464.442060918</v>
      </c>
      <c r="E75" s="21">
        <v>129667841.54853889</v>
      </c>
      <c r="F75" s="21">
        <v>123259159.9729794</v>
      </c>
      <c r="G75" s="21">
        <v>90880179.87356779</v>
      </c>
      <c r="H75" s="21">
        <v>331</v>
      </c>
      <c r="I75" s="21">
        <v>175</v>
      </c>
      <c r="J75" s="21">
        <v>162</v>
      </c>
      <c r="K75" s="21">
        <v>13</v>
      </c>
      <c r="L75" s="21">
        <v>156</v>
      </c>
      <c r="M75" s="21">
        <v>149</v>
      </c>
      <c r="N75" s="21">
        <v>7</v>
      </c>
    </row>
    <row r="76" spans="1:14" ht="16.5" customHeight="1">
      <c r="A76" s="22" t="s">
        <v>195</v>
      </c>
      <c r="B76" s="21" t="s">
        <v>95</v>
      </c>
      <c r="C76" s="21">
        <v>326120994.39784843</v>
      </c>
      <c r="D76" s="21">
        <v>79066516.154487625</v>
      </c>
      <c r="E76" s="21">
        <v>53371887.822894841</v>
      </c>
      <c r="F76" s="21">
        <v>98725431.941677898</v>
      </c>
      <c r="G76" s="21">
        <v>94957158.478788078</v>
      </c>
      <c r="H76" s="21">
        <v>46</v>
      </c>
      <c r="I76" s="21">
        <v>24</v>
      </c>
      <c r="J76" s="21">
        <v>11</v>
      </c>
      <c r="K76" s="21">
        <v>13</v>
      </c>
      <c r="L76" s="21">
        <v>22</v>
      </c>
      <c r="M76" s="21">
        <v>11</v>
      </c>
      <c r="N76" s="21">
        <v>11</v>
      </c>
    </row>
    <row r="77" spans="1:14" ht="16.5" customHeight="1">
      <c r="A77" s="22" t="s">
        <v>196</v>
      </c>
      <c r="B77" s="21" t="s">
        <v>96</v>
      </c>
      <c r="C77" s="21">
        <v>683396939.77623725</v>
      </c>
      <c r="D77" s="21">
        <v>198248678.41355681</v>
      </c>
      <c r="E77" s="21">
        <v>238996253.99994189</v>
      </c>
      <c r="F77" s="21">
        <v>119562658.9142855</v>
      </c>
      <c r="G77" s="21">
        <v>126589348.4484531</v>
      </c>
      <c r="H77" s="21">
        <v>260</v>
      </c>
      <c r="I77" s="21">
        <v>137</v>
      </c>
      <c r="J77" s="21">
        <v>74</v>
      </c>
      <c r="K77" s="21">
        <v>63</v>
      </c>
      <c r="L77" s="21">
        <v>123</v>
      </c>
      <c r="M77" s="21">
        <v>59</v>
      </c>
      <c r="N77" s="21">
        <v>64</v>
      </c>
    </row>
    <row r="78" spans="1:14" ht="16.5" customHeight="1">
      <c r="A78" s="22" t="s">
        <v>197</v>
      </c>
      <c r="B78" s="21" t="s">
        <v>97</v>
      </c>
      <c r="C78" s="21">
        <v>514597805.07139665</v>
      </c>
      <c r="D78" s="21">
        <v>99599568.451532155</v>
      </c>
      <c r="E78" s="21">
        <v>188105020.1762462</v>
      </c>
      <c r="F78" s="21">
        <v>95276636.869068831</v>
      </c>
      <c r="G78" s="21">
        <v>131616579.5745495</v>
      </c>
      <c r="H78" s="21">
        <v>35</v>
      </c>
      <c r="I78" s="21">
        <v>18</v>
      </c>
      <c r="J78" s="21">
        <v>18</v>
      </c>
      <c r="K78" s="21">
        <v>0</v>
      </c>
      <c r="L78" s="21">
        <v>17</v>
      </c>
      <c r="M78" s="21">
        <v>12</v>
      </c>
      <c r="N78" s="21">
        <v>5</v>
      </c>
    </row>
    <row r="79" spans="1:14" ht="16.5" customHeight="1">
      <c r="A79" s="22" t="s">
        <v>198</v>
      </c>
      <c r="B79" s="21" t="s">
        <v>98</v>
      </c>
      <c r="C79" s="21">
        <v>614986729.37983811</v>
      </c>
      <c r="D79" s="21">
        <v>140280586.66326249</v>
      </c>
      <c r="E79" s="21">
        <v>122935569.8096723</v>
      </c>
      <c r="F79" s="21">
        <v>141644463.17112961</v>
      </c>
      <c r="G79" s="21">
        <v>210126109.73577371</v>
      </c>
      <c r="H79" s="21">
        <v>470</v>
      </c>
      <c r="I79" s="21">
        <v>249</v>
      </c>
      <c r="J79" s="21">
        <v>167</v>
      </c>
      <c r="K79" s="21">
        <v>82</v>
      </c>
      <c r="L79" s="21">
        <v>221</v>
      </c>
      <c r="M79" s="21">
        <v>192</v>
      </c>
      <c r="N79" s="21">
        <v>29</v>
      </c>
    </row>
    <row r="80" spans="1:14" ht="16.5" customHeight="1">
      <c r="A80" s="22" t="s">
        <v>199</v>
      </c>
      <c r="B80" s="21" t="s">
        <v>99</v>
      </c>
      <c r="C80" s="21">
        <v>720673011.37623608</v>
      </c>
      <c r="D80" s="21">
        <v>204717822.6970337</v>
      </c>
      <c r="E80" s="21">
        <v>190900995.01716289</v>
      </c>
      <c r="F80" s="21">
        <v>125558039.1009884</v>
      </c>
      <c r="G80" s="21">
        <v>199496154.5610511</v>
      </c>
      <c r="H80" s="21">
        <v>82</v>
      </c>
      <c r="I80" s="21">
        <v>43</v>
      </c>
      <c r="J80" s="21">
        <v>39</v>
      </c>
      <c r="K80" s="21">
        <v>4</v>
      </c>
      <c r="L80" s="21">
        <v>39</v>
      </c>
      <c r="M80" s="21">
        <v>33</v>
      </c>
      <c r="N80" s="21">
        <v>6</v>
      </c>
    </row>
    <row r="81" spans="1:14" ht="16.5" customHeight="1">
      <c r="A81" s="22" t="s">
        <v>200</v>
      </c>
      <c r="B81" s="21" t="s">
        <v>100</v>
      </c>
      <c r="C81" s="21">
        <v>393831773.0221318</v>
      </c>
      <c r="D81" s="21">
        <v>131340928.1886643</v>
      </c>
      <c r="E81" s="21">
        <v>94810180.471240073</v>
      </c>
      <c r="F81" s="21">
        <v>64665085.559384242</v>
      </c>
      <c r="G81" s="21">
        <v>103015578.8028432</v>
      </c>
      <c r="H81" s="21">
        <v>60</v>
      </c>
      <c r="I81" s="21">
        <v>31</v>
      </c>
      <c r="J81" s="21">
        <v>15</v>
      </c>
      <c r="K81" s="21">
        <v>16</v>
      </c>
      <c r="L81" s="21">
        <v>29</v>
      </c>
      <c r="M81" s="21">
        <v>28</v>
      </c>
      <c r="N81" s="21">
        <v>1</v>
      </c>
    </row>
    <row r="82" spans="1:14" ht="16.5" customHeight="1">
      <c r="A82" s="22" t="s">
        <v>201</v>
      </c>
      <c r="B82" s="21" t="s">
        <v>101</v>
      </c>
      <c r="C82" s="21">
        <v>574075304.80952859</v>
      </c>
      <c r="D82" s="21">
        <v>177091378.06069469</v>
      </c>
      <c r="E82" s="21">
        <v>160489236.52106029</v>
      </c>
      <c r="F82" s="21">
        <v>149637034.1909911</v>
      </c>
      <c r="G82" s="21">
        <v>86857656.036782458</v>
      </c>
      <c r="H82" s="21">
        <v>22</v>
      </c>
      <c r="I82" s="21">
        <v>11</v>
      </c>
      <c r="J82" s="21">
        <v>9</v>
      </c>
      <c r="K82" s="21">
        <v>2</v>
      </c>
      <c r="L82" s="21">
        <v>11</v>
      </c>
      <c r="M82" s="21">
        <v>5</v>
      </c>
      <c r="N82" s="21">
        <v>6</v>
      </c>
    </row>
    <row r="83" spans="1:14" ht="16.5" customHeight="1">
      <c r="A83" s="22" t="s">
        <v>202</v>
      </c>
      <c r="B83" s="21" t="s">
        <v>102</v>
      </c>
      <c r="C83" s="21">
        <v>88208661.776577711</v>
      </c>
      <c r="D83" s="21">
        <v>21713639.20580487</v>
      </c>
      <c r="E83" s="21">
        <v>22331098.255143449</v>
      </c>
      <c r="F83" s="21">
        <v>15466995.146600951</v>
      </c>
      <c r="G83" s="21">
        <v>28696929.16902845</v>
      </c>
      <c r="H83" s="21">
        <v>418</v>
      </c>
      <c r="I83" s="21">
        <v>221</v>
      </c>
      <c r="J83" s="21">
        <v>162</v>
      </c>
      <c r="K83" s="21">
        <v>59</v>
      </c>
      <c r="L83" s="21">
        <v>197</v>
      </c>
      <c r="M83" s="21">
        <v>157</v>
      </c>
      <c r="N83" s="21">
        <v>40</v>
      </c>
    </row>
    <row r="84" spans="1:14" ht="16.5" customHeight="1">
      <c r="A84" s="22" t="s">
        <v>203</v>
      </c>
      <c r="B84" s="21" t="s">
        <v>103</v>
      </c>
      <c r="C84" s="21">
        <v>290156074.54063904</v>
      </c>
      <c r="D84" s="21">
        <v>40063969.43576064</v>
      </c>
      <c r="E84" s="21">
        <v>95760185.555620536</v>
      </c>
      <c r="F84" s="21">
        <v>72409503.301939979</v>
      </c>
      <c r="G84" s="21">
        <v>81922416.24731791</v>
      </c>
      <c r="H84" s="21">
        <v>157</v>
      </c>
      <c r="I84" s="21">
        <v>83</v>
      </c>
      <c r="J84" s="21">
        <v>34</v>
      </c>
      <c r="K84" s="21">
        <v>49</v>
      </c>
      <c r="L84" s="21">
        <v>74</v>
      </c>
      <c r="M84" s="21">
        <v>66</v>
      </c>
      <c r="N84" s="21">
        <v>8</v>
      </c>
    </row>
    <row r="85" spans="1:14" ht="16.5" customHeight="1">
      <c r="A85" s="22" t="s">
        <v>204</v>
      </c>
      <c r="B85" s="21" t="s">
        <v>104</v>
      </c>
      <c r="C85" s="21">
        <v>321417559.36283463</v>
      </c>
      <c r="D85" s="21">
        <v>62768701.973290011</v>
      </c>
      <c r="E85" s="21">
        <v>84634238.398062438</v>
      </c>
      <c r="F85" s="21">
        <v>88783009.946111038</v>
      </c>
      <c r="G85" s="21">
        <v>85231609.045371175</v>
      </c>
      <c r="H85" s="21">
        <v>205</v>
      </c>
      <c r="I85" s="21">
        <v>108</v>
      </c>
      <c r="J85" s="21">
        <v>81</v>
      </c>
      <c r="K85" s="21">
        <v>27</v>
      </c>
      <c r="L85" s="21">
        <v>97</v>
      </c>
      <c r="M85" s="21">
        <v>38</v>
      </c>
      <c r="N85" s="21">
        <v>59</v>
      </c>
    </row>
    <row r="86" spans="1:14" ht="16.5" customHeight="1">
      <c r="A86" s="22" t="s">
        <v>205</v>
      </c>
      <c r="B86" s="21" t="s">
        <v>105</v>
      </c>
      <c r="C86" s="21">
        <v>490752151.10369527</v>
      </c>
      <c r="D86" s="21">
        <v>68259739.417451143</v>
      </c>
      <c r="E86" s="21">
        <v>168547943.7582866</v>
      </c>
      <c r="F86" s="21">
        <v>167241366.3363207</v>
      </c>
      <c r="G86" s="21">
        <v>86703101.591636807</v>
      </c>
      <c r="H86" s="21">
        <v>404</v>
      </c>
      <c r="I86" s="21">
        <v>214</v>
      </c>
      <c r="J86" s="21">
        <v>92</v>
      </c>
      <c r="K86" s="21">
        <v>122</v>
      </c>
      <c r="L86" s="21">
        <v>190</v>
      </c>
      <c r="M86" s="21">
        <v>131</v>
      </c>
      <c r="N86" s="21">
        <v>59</v>
      </c>
    </row>
    <row r="87" spans="1:14" ht="16.5" customHeight="1">
      <c r="A87" s="22" t="s">
        <v>206</v>
      </c>
      <c r="B87" s="21" t="s">
        <v>106</v>
      </c>
      <c r="C87" s="21">
        <v>372384011.12398505</v>
      </c>
      <c r="D87" s="21">
        <v>85912578.974919945</v>
      </c>
      <c r="E87" s="21">
        <v>126106471.8842966</v>
      </c>
      <c r="F87" s="21">
        <v>80259490.780057788</v>
      </c>
      <c r="G87" s="21">
        <v>80105469.484710708</v>
      </c>
      <c r="H87" s="21">
        <v>17</v>
      </c>
      <c r="I87" s="21">
        <v>9</v>
      </c>
      <c r="J87" s="21">
        <v>7</v>
      </c>
      <c r="K87" s="21">
        <v>2</v>
      </c>
      <c r="L87" s="21">
        <v>8</v>
      </c>
      <c r="M87" s="21">
        <v>6</v>
      </c>
      <c r="N87" s="21">
        <v>2</v>
      </c>
    </row>
    <row r="88" spans="1:14" ht="16.5" customHeight="1">
      <c r="A88" s="22" t="s">
        <v>207</v>
      </c>
      <c r="B88" s="21" t="s">
        <v>107</v>
      </c>
      <c r="C88" s="21">
        <v>337466210.33300996</v>
      </c>
      <c r="D88" s="21">
        <v>100783233.1116097</v>
      </c>
      <c r="E88" s="21">
        <v>53361028.036928043</v>
      </c>
      <c r="F88" s="21">
        <v>110800520.7214203</v>
      </c>
      <c r="G88" s="21">
        <v>72521428.4630519</v>
      </c>
      <c r="H88" s="21">
        <v>446</v>
      </c>
      <c r="I88" s="21">
        <v>236</v>
      </c>
      <c r="J88" s="21">
        <v>225</v>
      </c>
      <c r="K88" s="21">
        <v>11</v>
      </c>
      <c r="L88" s="21">
        <v>210</v>
      </c>
      <c r="M88" s="21">
        <v>143</v>
      </c>
      <c r="N88" s="21">
        <v>67</v>
      </c>
    </row>
    <row r="89" spans="1:14" ht="16.5" customHeight="1">
      <c r="A89" s="22" t="s">
        <v>208</v>
      </c>
      <c r="B89" s="21" t="s">
        <v>108</v>
      </c>
      <c r="C89" s="21">
        <v>140897107.12369323</v>
      </c>
      <c r="D89" s="21">
        <v>28214310.894045789</v>
      </c>
      <c r="E89" s="21">
        <v>53691264.101193599</v>
      </c>
      <c r="F89" s="21">
        <v>28836778.243971039</v>
      </c>
      <c r="G89" s="21">
        <v>30154753.884482801</v>
      </c>
      <c r="H89" s="21">
        <v>102</v>
      </c>
      <c r="I89" s="21">
        <v>54</v>
      </c>
      <c r="J89" s="21">
        <v>43</v>
      </c>
      <c r="K89" s="21">
        <v>11</v>
      </c>
      <c r="L89" s="21">
        <v>48</v>
      </c>
      <c r="M89" s="21">
        <v>48</v>
      </c>
      <c r="N89" s="21">
        <v>0</v>
      </c>
    </row>
    <row r="90" spans="1:14" ht="16.5" customHeight="1">
      <c r="A90" s="22" t="s">
        <v>209</v>
      </c>
      <c r="B90" s="21" t="s">
        <v>109</v>
      </c>
      <c r="C90" s="21">
        <v>873473519.14461088</v>
      </c>
      <c r="D90" s="21">
        <v>174124284.98530331</v>
      </c>
      <c r="E90" s="21">
        <v>248162852.0234794</v>
      </c>
      <c r="F90" s="21">
        <v>188523683.092186</v>
      </c>
      <c r="G90" s="21">
        <v>262662699.04364219</v>
      </c>
      <c r="H90" s="21">
        <v>24</v>
      </c>
      <c r="I90" s="21">
        <v>12</v>
      </c>
      <c r="J90" s="21">
        <v>7</v>
      </c>
      <c r="K90" s="21">
        <v>5</v>
      </c>
      <c r="L90" s="21">
        <v>12</v>
      </c>
      <c r="M90" s="21">
        <v>10</v>
      </c>
      <c r="N90" s="21">
        <v>2</v>
      </c>
    </row>
    <row r="91" spans="1:14" ht="16.5" customHeight="1">
      <c r="A91" s="22" t="s">
        <v>210</v>
      </c>
      <c r="B91" s="21" t="s">
        <v>110</v>
      </c>
      <c r="C91" s="21">
        <v>597146839.92934704</v>
      </c>
      <c r="D91" s="21">
        <v>179298828.12498251</v>
      </c>
      <c r="E91" s="21">
        <v>114727897.9480947</v>
      </c>
      <c r="F91" s="21">
        <v>128943053.5728391</v>
      </c>
      <c r="G91" s="21">
        <v>174177060.28343081</v>
      </c>
      <c r="H91" s="21">
        <v>466</v>
      </c>
      <c r="I91" s="21">
        <v>247</v>
      </c>
      <c r="J91" s="21">
        <v>241</v>
      </c>
      <c r="K91" s="21">
        <v>6</v>
      </c>
      <c r="L91" s="21">
        <v>219</v>
      </c>
      <c r="M91" s="21">
        <v>205</v>
      </c>
      <c r="N91" s="21">
        <v>14</v>
      </c>
    </row>
    <row r="92" spans="1:14" ht="16.5" customHeight="1">
      <c r="A92" s="22" t="s">
        <v>211</v>
      </c>
      <c r="B92" s="21" t="s">
        <v>111</v>
      </c>
      <c r="C92" s="21">
        <v>744862777.48097968</v>
      </c>
      <c r="D92" s="21">
        <v>233120571.12590581</v>
      </c>
      <c r="E92" s="21">
        <v>148145791.026939</v>
      </c>
      <c r="F92" s="21">
        <v>164798959.90786499</v>
      </c>
      <c r="G92" s="21">
        <v>198797455.42027</v>
      </c>
      <c r="H92" s="21">
        <v>56</v>
      </c>
      <c r="I92" s="21">
        <v>29</v>
      </c>
      <c r="J92" s="21">
        <v>23</v>
      </c>
      <c r="K92" s="21">
        <v>6</v>
      </c>
      <c r="L92" s="21">
        <v>27</v>
      </c>
      <c r="M92" s="21">
        <v>12</v>
      </c>
      <c r="N92" s="21">
        <v>15</v>
      </c>
    </row>
    <row r="93" spans="1:14" ht="16.5" customHeight="1">
      <c r="A93" s="22" t="s">
        <v>212</v>
      </c>
      <c r="B93" s="21" t="s">
        <v>112</v>
      </c>
      <c r="C93" s="21">
        <v>420296400.55278087</v>
      </c>
      <c r="D93" s="21">
        <v>112599118.1736495</v>
      </c>
      <c r="E93" s="21">
        <v>132531336.53684629</v>
      </c>
      <c r="F93" s="21">
        <v>86145053.538221836</v>
      </c>
      <c r="G93" s="21">
        <v>89020892.304063171</v>
      </c>
      <c r="H93" s="21">
        <v>237</v>
      </c>
      <c r="I93" s="21">
        <v>125</v>
      </c>
      <c r="J93" s="21">
        <v>70</v>
      </c>
      <c r="K93" s="21">
        <v>55</v>
      </c>
      <c r="L93" s="21">
        <v>112</v>
      </c>
      <c r="M93" s="21">
        <v>42</v>
      </c>
      <c r="N93" s="21">
        <v>70</v>
      </c>
    </row>
    <row r="94" spans="1:14" ht="16.5" customHeight="1">
      <c r="A94" s="22" t="s">
        <v>213</v>
      </c>
      <c r="B94" s="21" t="s">
        <v>113</v>
      </c>
      <c r="C94" s="21">
        <v>607190822.52771533</v>
      </c>
      <c r="D94" s="21">
        <v>164678290.18126309</v>
      </c>
      <c r="E94" s="21">
        <v>223468490.1837621</v>
      </c>
      <c r="F94" s="21">
        <v>115973553.2643332</v>
      </c>
      <c r="G94" s="21">
        <v>103070488.898357</v>
      </c>
      <c r="H94" s="21">
        <v>45</v>
      </c>
      <c r="I94" s="21">
        <v>23</v>
      </c>
      <c r="J94" s="21">
        <v>19</v>
      </c>
      <c r="K94" s="21">
        <v>4</v>
      </c>
      <c r="L94" s="21">
        <v>22</v>
      </c>
      <c r="M94" s="21">
        <v>13</v>
      </c>
      <c r="N94" s="21">
        <v>9</v>
      </c>
    </row>
    <row r="95" spans="1:14" ht="16.5" customHeight="1">
      <c r="A95" s="22" t="s">
        <v>214</v>
      </c>
      <c r="B95" s="21" t="s">
        <v>114</v>
      </c>
      <c r="C95" s="21">
        <v>751039272.8756398</v>
      </c>
      <c r="D95" s="21">
        <v>278491305.39639509</v>
      </c>
      <c r="E95" s="21">
        <v>200171173.54370651</v>
      </c>
      <c r="F95" s="21">
        <v>139502816.37252021</v>
      </c>
      <c r="G95" s="21">
        <v>132873977.56301799</v>
      </c>
      <c r="H95" s="21">
        <v>219</v>
      </c>
      <c r="I95" s="21">
        <v>116</v>
      </c>
      <c r="J95" s="21">
        <v>88</v>
      </c>
      <c r="K95" s="21">
        <v>28</v>
      </c>
      <c r="L95" s="21">
        <v>103</v>
      </c>
      <c r="M95" s="21">
        <v>55</v>
      </c>
      <c r="N95" s="21">
        <v>48</v>
      </c>
    </row>
    <row r="96" spans="1:14" ht="16.5" customHeight="1">
      <c r="A96" s="22" t="s">
        <v>215</v>
      </c>
      <c r="B96" s="21" t="s">
        <v>115</v>
      </c>
      <c r="C96" s="21">
        <v>503340214.16604471</v>
      </c>
      <c r="D96" s="21">
        <v>146226377.53589061</v>
      </c>
      <c r="E96" s="21">
        <v>121383668.9405289</v>
      </c>
      <c r="F96" s="21">
        <v>135012594.60000199</v>
      </c>
      <c r="G96" s="21">
        <v>100717573.0896232</v>
      </c>
      <c r="H96" s="21">
        <v>161</v>
      </c>
      <c r="I96" s="21">
        <v>85</v>
      </c>
      <c r="J96" s="21">
        <v>44</v>
      </c>
      <c r="K96" s="21">
        <v>41</v>
      </c>
      <c r="L96" s="21">
        <v>76</v>
      </c>
      <c r="M96" s="21">
        <v>49</v>
      </c>
      <c r="N96" s="21">
        <v>27</v>
      </c>
    </row>
    <row r="97" spans="1:14" ht="16.5" customHeight="1">
      <c r="A97" s="22" t="s">
        <v>216</v>
      </c>
      <c r="B97" s="21" t="s">
        <v>116</v>
      </c>
      <c r="C97" s="21">
        <v>535853435.3738749</v>
      </c>
      <c r="D97" s="21">
        <v>146167172.3088648</v>
      </c>
      <c r="E97" s="21">
        <v>141428277.86791191</v>
      </c>
      <c r="F97" s="21">
        <v>134008269.17593309</v>
      </c>
      <c r="G97" s="21">
        <v>114249716.0211651</v>
      </c>
      <c r="H97" s="21">
        <v>71</v>
      </c>
      <c r="I97" s="21">
        <v>37</v>
      </c>
      <c r="J97" s="21">
        <v>22</v>
      </c>
      <c r="K97" s="21">
        <v>15</v>
      </c>
      <c r="L97" s="21">
        <v>34</v>
      </c>
      <c r="M97" s="21">
        <v>26</v>
      </c>
      <c r="N97" s="21">
        <v>8</v>
      </c>
    </row>
    <row r="98" spans="1:14" ht="16.5" customHeight="1">
      <c r="A98" s="22" t="s">
        <v>217</v>
      </c>
      <c r="B98" s="21" t="s">
        <v>117</v>
      </c>
      <c r="C98" s="21">
        <v>687556956.01922286</v>
      </c>
      <c r="D98" s="21">
        <v>182270097.0461624</v>
      </c>
      <c r="E98" s="21">
        <v>196142385.26970881</v>
      </c>
      <c r="F98" s="21">
        <v>125851800.8608834</v>
      </c>
      <c r="G98" s="21">
        <v>183292672.8424682</v>
      </c>
      <c r="H98" s="21">
        <v>127</v>
      </c>
      <c r="I98" s="21">
        <v>67</v>
      </c>
      <c r="J98" s="21">
        <v>29</v>
      </c>
      <c r="K98" s="21">
        <v>38</v>
      </c>
      <c r="L98" s="21">
        <v>60</v>
      </c>
      <c r="M98" s="21">
        <v>32</v>
      </c>
      <c r="N98" s="21">
        <v>28</v>
      </c>
    </row>
    <row r="99" spans="1:14" ht="16.5" customHeight="1">
      <c r="A99" s="22" t="s">
        <v>218</v>
      </c>
      <c r="B99" s="21" t="s">
        <v>118</v>
      </c>
      <c r="C99" s="21">
        <v>352124277.86951154</v>
      </c>
      <c r="D99" s="21">
        <v>77413459.543398216</v>
      </c>
      <c r="E99" s="21">
        <v>108918042.89439391</v>
      </c>
      <c r="F99" s="21">
        <v>51133546.917475633</v>
      </c>
      <c r="G99" s="21">
        <v>114659228.5142438</v>
      </c>
      <c r="H99" s="21">
        <v>191</v>
      </c>
      <c r="I99" s="21">
        <v>101</v>
      </c>
      <c r="J99" s="21">
        <v>91</v>
      </c>
      <c r="K99" s="21">
        <v>10</v>
      </c>
      <c r="L99" s="21">
        <v>90</v>
      </c>
      <c r="M99" s="21">
        <v>86</v>
      </c>
      <c r="N99" s="21">
        <v>4</v>
      </c>
    </row>
    <row r="100" spans="1:14" ht="16.5" customHeight="1">
      <c r="A100" s="22" t="s">
        <v>219</v>
      </c>
      <c r="B100" s="21" t="s">
        <v>119</v>
      </c>
      <c r="C100" s="21">
        <v>83757980.329517767</v>
      </c>
      <c r="D100" s="21">
        <v>33622839.796554208</v>
      </c>
      <c r="E100" s="21">
        <v>18693805.788150571</v>
      </c>
      <c r="F100" s="21">
        <v>11730235.84535796</v>
      </c>
      <c r="G100" s="21">
        <v>19711098.89945503</v>
      </c>
      <c r="H100" s="21">
        <v>22</v>
      </c>
      <c r="I100" s="21">
        <v>11</v>
      </c>
      <c r="J100" s="21">
        <v>8</v>
      </c>
      <c r="K100" s="21">
        <v>3</v>
      </c>
      <c r="L100" s="21">
        <v>11</v>
      </c>
      <c r="M100" s="21">
        <v>9</v>
      </c>
      <c r="N100" s="21">
        <v>2</v>
      </c>
    </row>
    <row r="101" spans="1:14" ht="16.5" customHeight="1">
      <c r="A101" s="22" t="s">
        <v>220</v>
      </c>
      <c r="B101" s="21" t="s">
        <v>120</v>
      </c>
      <c r="C101" s="21">
        <v>792730594.64550614</v>
      </c>
      <c r="D101" s="21">
        <v>221203557.65846199</v>
      </c>
      <c r="E101" s="21">
        <v>237691219.29972371</v>
      </c>
      <c r="F101" s="21">
        <v>227547129.247435</v>
      </c>
      <c r="G101" s="21">
        <v>106288688.4398855</v>
      </c>
      <c r="H101" s="21">
        <v>439</v>
      </c>
      <c r="I101" s="21">
        <v>232</v>
      </c>
      <c r="J101" s="21">
        <v>157</v>
      </c>
      <c r="K101" s="21">
        <v>75</v>
      </c>
      <c r="L101" s="21">
        <v>207</v>
      </c>
      <c r="M101" s="21">
        <v>99</v>
      </c>
      <c r="N101" s="21">
        <v>108</v>
      </c>
    </row>
    <row r="102" spans="1:14" ht="16.5" customHeight="1"/>
    <row r="103" spans="1:14" ht="16.5" customHeight="1"/>
    <row r="104" spans="1:14" ht="16.5" customHeight="1"/>
    <row r="105" spans="1:14" ht="16.5" customHeight="1"/>
    <row r="106" spans="1:14" ht="16.5" customHeight="1"/>
    <row r="107" spans="1:14" ht="16.5" customHeight="1"/>
    <row r="108" spans="1:14" ht="16.5" customHeight="1"/>
    <row r="109" spans="1:14" ht="16.5" customHeight="1"/>
    <row r="110" spans="1:14" ht="16.5" customHeight="1"/>
    <row r="111" spans="1:14" ht="16.5" customHeight="1"/>
    <row r="112" spans="1:14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  <row r="201" ht="16.5" customHeight="1"/>
    <row r="202" ht="16.5" customHeight="1"/>
    <row r="203" ht="16.5" customHeight="1"/>
    <row r="204" ht="16.5" customHeight="1"/>
    <row r="205" ht="16.5" customHeight="1"/>
    <row r="206" ht="16.5" customHeight="1"/>
    <row r="207" ht="16.5" customHeight="1"/>
    <row r="208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6.5" customHeight="1"/>
    <row r="249" ht="16.5" customHeight="1"/>
    <row r="250" ht="16.5" customHeight="1"/>
    <row r="251" ht="16.5" customHeight="1"/>
    <row r="252" ht="16.5" customHeight="1"/>
    <row r="253" ht="16.5" customHeight="1"/>
    <row r="254" ht="16.5" customHeight="1"/>
    <row r="255" ht="16.5" customHeight="1"/>
    <row r="256" ht="16.5" customHeight="1"/>
    <row r="257" ht="16.5" customHeight="1"/>
    <row r="258" ht="16.5" customHeight="1"/>
    <row r="259" ht="16.5" customHeight="1"/>
    <row r="260" ht="16.5" customHeight="1"/>
    <row r="261" ht="16.5" customHeight="1"/>
    <row r="262" ht="16.5" customHeight="1"/>
    <row r="263" ht="16.5" customHeight="1"/>
    <row r="264" ht="16.5" customHeight="1"/>
    <row r="265" ht="16.5" customHeight="1"/>
    <row r="266" ht="16.5" customHeight="1"/>
    <row r="267" ht="16.5" customHeight="1"/>
    <row r="268" ht="16.5" customHeight="1"/>
    <row r="269" ht="16.5" customHeight="1"/>
    <row r="270" ht="16.5" customHeight="1"/>
    <row r="271" ht="16.5" customHeight="1"/>
    <row r="272" ht="16.5" customHeight="1"/>
    <row r="273" ht="16.5" customHeight="1"/>
    <row r="274" ht="16.5" customHeight="1"/>
    <row r="275" ht="16.5" customHeight="1"/>
    <row r="276" ht="16.5" customHeight="1"/>
    <row r="277" ht="16.5" customHeight="1"/>
    <row r="278" ht="16.5" customHeight="1"/>
    <row r="279" ht="16.5" customHeight="1"/>
    <row r="280" ht="16.5" customHeight="1"/>
    <row r="281" ht="16.5" customHeight="1"/>
    <row r="282" ht="16.5" customHeight="1"/>
    <row r="283" ht="16.5" customHeight="1"/>
    <row r="284" ht="16.5" customHeight="1"/>
    <row r="285" ht="16.5" customHeight="1"/>
    <row r="286" ht="16.5" customHeight="1"/>
    <row r="287" ht="16.5" customHeight="1"/>
    <row r="288" ht="16.5" customHeight="1"/>
    <row r="289" ht="16.5" customHeight="1"/>
    <row r="290" ht="16.5" customHeight="1"/>
    <row r="291" ht="16.5" customHeight="1"/>
    <row r="292" ht="16.5" customHeight="1"/>
    <row r="293" ht="16.5" customHeight="1"/>
    <row r="294" ht="16.5" customHeight="1"/>
    <row r="295" ht="16.5" customHeight="1"/>
    <row r="296" ht="16.5" customHeight="1"/>
    <row r="297" ht="16.5" customHeight="1"/>
    <row r="298" ht="16.5" customHeight="1"/>
    <row r="299" ht="16.5" customHeight="1"/>
    <row r="300" ht="16.5" customHeight="1"/>
    <row r="301" ht="16.5" customHeight="1"/>
    <row r="302" ht="16.5" customHeight="1"/>
    <row r="303" ht="16.5" customHeight="1"/>
    <row r="304" ht="16.5" customHeight="1"/>
    <row r="305" ht="16.5" customHeight="1"/>
    <row r="306" ht="16.5" customHeight="1"/>
    <row r="307" ht="16.5" customHeight="1"/>
    <row r="308" ht="16.5" customHeight="1"/>
    <row r="309" ht="16.5" customHeight="1"/>
    <row r="310" ht="16.5" customHeight="1"/>
    <row r="311" ht="16.5" customHeight="1"/>
    <row r="312" ht="16.5" customHeight="1"/>
    <row r="313" ht="16.5" customHeight="1"/>
    <row r="314" ht="16.5" customHeight="1"/>
    <row r="315" ht="16.5" customHeight="1"/>
    <row r="316" ht="16.5" customHeight="1"/>
    <row r="317" ht="16.5" customHeight="1"/>
    <row r="318" ht="16.5" customHeight="1"/>
    <row r="319" ht="16.5" customHeight="1"/>
    <row r="320" ht="16.5" customHeight="1"/>
    <row r="321" ht="16.5" customHeight="1"/>
    <row r="322" ht="16.5" customHeight="1"/>
    <row r="323" ht="16.5" customHeight="1"/>
    <row r="324" ht="16.5" customHeight="1"/>
    <row r="325" ht="16.5" customHeight="1"/>
    <row r="326" ht="16.5" customHeight="1"/>
    <row r="327" ht="16.5" customHeight="1"/>
    <row r="328" ht="16.5" customHeight="1"/>
    <row r="329" ht="16.5" customHeight="1"/>
    <row r="330" ht="16.5" customHeight="1"/>
    <row r="331" ht="16.5" customHeight="1"/>
    <row r="332" ht="16.5" customHeight="1"/>
    <row r="333" ht="16.5" customHeight="1"/>
    <row r="334" ht="16.5" customHeight="1"/>
    <row r="335" ht="16.5" customHeight="1"/>
    <row r="336" ht="16.5" customHeight="1"/>
    <row r="337" ht="16.5" customHeight="1"/>
    <row r="338" ht="16.5" customHeight="1"/>
    <row r="339" ht="16.5" customHeight="1"/>
    <row r="340" ht="16.5" customHeight="1"/>
    <row r="341" ht="16.5" customHeight="1"/>
    <row r="342" ht="16.5" customHeight="1"/>
    <row r="343" ht="16.5" customHeight="1"/>
    <row r="344" ht="16.5" customHeight="1"/>
    <row r="345" ht="16.5" customHeight="1"/>
    <row r="346" ht="16.5" customHeight="1"/>
    <row r="347" ht="16.5" customHeight="1"/>
    <row r="348" ht="16.5" customHeight="1"/>
    <row r="349" ht="16.5" customHeight="1"/>
    <row r="350" ht="16.5" customHeight="1"/>
    <row r="351" ht="16.5" customHeight="1"/>
    <row r="352" ht="16.5" customHeight="1"/>
    <row r="353" ht="16.5" customHeight="1"/>
    <row r="354" ht="16.5" customHeight="1"/>
    <row r="355" ht="16.5" customHeight="1"/>
    <row r="356" ht="16.5" customHeight="1"/>
    <row r="357" ht="16.5" customHeight="1"/>
    <row r="358" ht="16.5" customHeight="1"/>
    <row r="359" ht="16.5" customHeight="1"/>
    <row r="360" ht="16.5" customHeight="1"/>
    <row r="361" ht="16.5" customHeight="1"/>
    <row r="362" ht="16.5" customHeight="1"/>
    <row r="363" ht="16.5" customHeight="1"/>
    <row r="364" ht="16.5" customHeight="1"/>
    <row r="365" ht="16.5" customHeight="1"/>
    <row r="366" ht="16.5" customHeight="1"/>
    <row r="367" ht="16.5" customHeight="1"/>
    <row r="368" ht="16.5" customHeight="1"/>
    <row r="369" ht="16.5" customHeight="1"/>
    <row r="370" ht="16.5" customHeight="1"/>
    <row r="371" ht="16.5" customHeight="1"/>
    <row r="372" ht="16.5" customHeight="1"/>
    <row r="373" ht="16.5" customHeight="1"/>
    <row r="374" ht="16.5" customHeight="1"/>
    <row r="375" ht="16.5" customHeight="1"/>
    <row r="376" ht="16.5" customHeight="1"/>
    <row r="377" ht="16.5" customHeight="1"/>
    <row r="378" ht="16.5" customHeight="1"/>
    <row r="379" ht="16.5" customHeight="1"/>
    <row r="380" ht="16.5" customHeight="1"/>
    <row r="381" ht="16.5" customHeight="1"/>
    <row r="382" ht="16.5" customHeight="1"/>
    <row r="383" ht="16.5" customHeight="1"/>
    <row r="384" ht="16.5" customHeight="1"/>
    <row r="385" ht="16.5" customHeight="1"/>
    <row r="386" ht="16.5" customHeight="1"/>
    <row r="387" ht="16.5" customHeight="1"/>
    <row r="388" ht="16.5" customHeight="1"/>
    <row r="389" ht="16.5" customHeight="1"/>
    <row r="390" ht="16.5" customHeight="1"/>
    <row r="391" ht="16.5" customHeight="1"/>
    <row r="392" ht="16.5" customHeight="1"/>
    <row r="393" ht="16.5" customHeight="1"/>
    <row r="394" ht="16.5" customHeight="1"/>
    <row r="395" ht="16.5" customHeight="1"/>
    <row r="396" ht="16.5" customHeight="1"/>
    <row r="397" ht="16.5" customHeight="1"/>
    <row r="398" ht="16.5" customHeight="1"/>
    <row r="399" ht="16.5" customHeight="1"/>
    <row r="400" ht="16.5" customHeight="1"/>
    <row r="401" ht="16.5" customHeight="1"/>
    <row r="402" ht="16.5" customHeight="1"/>
    <row r="403" ht="16.5" customHeight="1"/>
    <row r="404" ht="16.5" customHeight="1"/>
    <row r="405" ht="16.5" customHeight="1"/>
    <row r="406" ht="16.5" customHeight="1"/>
    <row r="407" ht="16.5" customHeight="1"/>
    <row r="408" ht="16.5" customHeight="1"/>
    <row r="409" ht="16.5" customHeight="1"/>
    <row r="410" ht="16.5" customHeight="1"/>
    <row r="411" ht="16.5" customHeight="1"/>
    <row r="412" ht="16.5" customHeight="1"/>
    <row r="413" ht="16.5" customHeight="1"/>
    <row r="414" ht="16.5" customHeight="1"/>
    <row r="415" ht="16.5" customHeight="1"/>
    <row r="416" ht="16.5" customHeight="1"/>
    <row r="417" ht="16.5" customHeight="1"/>
    <row r="418" ht="16.5" customHeight="1"/>
    <row r="419" ht="16.5" customHeight="1"/>
    <row r="420" ht="16.5" customHeight="1"/>
    <row r="421" ht="16.5" customHeight="1"/>
    <row r="422" ht="16.5" customHeight="1"/>
    <row r="423" ht="16.5" customHeight="1"/>
    <row r="424" ht="16.5" customHeight="1"/>
    <row r="425" ht="16.5" customHeight="1"/>
    <row r="426" ht="16.5" customHeight="1"/>
    <row r="427" ht="16.5" customHeight="1"/>
    <row r="428" ht="16.5" customHeight="1"/>
    <row r="429" ht="16.5" customHeight="1"/>
    <row r="430" ht="16.5" customHeight="1"/>
    <row r="431" ht="16.5" customHeight="1"/>
    <row r="432" ht="16.5" customHeight="1"/>
    <row r="433" ht="16.5" customHeight="1"/>
    <row r="434" ht="16.5" customHeight="1"/>
    <row r="435" ht="16.5" customHeight="1"/>
    <row r="436" ht="16.5" customHeight="1"/>
    <row r="437" ht="16.5" customHeight="1"/>
    <row r="438" ht="16.5" customHeight="1"/>
    <row r="439" ht="16.5" customHeight="1"/>
    <row r="440" ht="16.5" customHeight="1"/>
    <row r="441" ht="16.5" customHeight="1"/>
    <row r="442" ht="16.5" customHeight="1"/>
    <row r="443" ht="16.5" customHeight="1"/>
    <row r="444" ht="16.5" customHeight="1"/>
    <row r="445" ht="16.5" customHeight="1"/>
    <row r="446" ht="16.5" customHeight="1"/>
    <row r="447" ht="16.5" customHeight="1"/>
    <row r="448" ht="16.5" customHeight="1"/>
    <row r="449" ht="16.5" customHeight="1"/>
    <row r="450" ht="16.5" customHeight="1"/>
    <row r="451" ht="16.5" customHeight="1"/>
    <row r="452" ht="16.5" customHeight="1"/>
    <row r="453" ht="16.5" customHeight="1"/>
    <row r="454" ht="16.5" customHeight="1"/>
    <row r="455" ht="16.5" customHeight="1"/>
    <row r="456" ht="16.5" customHeight="1"/>
    <row r="457" ht="16.5" customHeight="1"/>
    <row r="458" ht="16.5" customHeight="1"/>
    <row r="459" ht="16.5" customHeight="1"/>
    <row r="460" ht="16.5" customHeight="1"/>
    <row r="461" ht="16.5" customHeight="1"/>
    <row r="462" ht="16.5" customHeight="1"/>
    <row r="463" ht="16.5" customHeight="1"/>
    <row r="464" ht="16.5" customHeight="1"/>
    <row r="465" ht="16.5" customHeight="1"/>
    <row r="466" ht="16.5" customHeight="1"/>
    <row r="467" ht="16.5" customHeight="1"/>
    <row r="468" ht="16.5" customHeight="1"/>
    <row r="469" ht="16.5" customHeight="1"/>
    <row r="470" ht="16.5" customHeight="1"/>
    <row r="471" ht="16.5" customHeight="1"/>
    <row r="472" ht="16.5" customHeight="1"/>
    <row r="473" ht="16.5" customHeight="1"/>
    <row r="474" ht="16.5" customHeight="1"/>
    <row r="475" ht="16.5" customHeight="1"/>
    <row r="476" ht="16.5" customHeight="1"/>
    <row r="477" ht="16.5" customHeight="1"/>
    <row r="478" ht="16.5" customHeight="1"/>
    <row r="479" ht="16.5" customHeight="1"/>
    <row r="480" ht="16.5" customHeight="1"/>
    <row r="481" ht="16.5" customHeight="1"/>
    <row r="482" ht="16.5" customHeight="1"/>
    <row r="483" ht="16.5" customHeight="1"/>
    <row r="484" ht="16.5" customHeight="1"/>
    <row r="485" ht="16.5" customHeight="1"/>
    <row r="486" ht="16.5" customHeight="1"/>
    <row r="487" ht="16.5" customHeight="1"/>
    <row r="488" ht="16.5" customHeight="1"/>
    <row r="489" ht="16.5" customHeight="1"/>
    <row r="490" ht="16.5" customHeight="1"/>
    <row r="491" ht="16.5" customHeight="1"/>
    <row r="492" ht="16.5" customHeight="1"/>
    <row r="493" ht="16.5" customHeight="1"/>
    <row r="494" ht="16.5" customHeight="1"/>
    <row r="495" ht="16.5" customHeight="1"/>
    <row r="496" ht="16.5" customHeight="1"/>
    <row r="497" ht="16.5" customHeight="1"/>
    <row r="498" ht="16.5" customHeight="1"/>
    <row r="499" ht="16.5" customHeight="1"/>
    <row r="500" ht="16.5" customHeight="1"/>
    <row r="501" ht="16.5" customHeight="1"/>
    <row r="502" ht="16.5" customHeight="1"/>
    <row r="503" ht="16.5" customHeight="1"/>
    <row r="504" ht="16.5" customHeight="1"/>
    <row r="505" ht="16.5" customHeight="1"/>
    <row r="506" ht="16.5" customHeight="1"/>
    <row r="507" ht="16.5" customHeight="1"/>
    <row r="508" ht="16.5" customHeight="1"/>
    <row r="509" ht="16.5" customHeight="1"/>
    <row r="510" ht="16.5" customHeight="1"/>
    <row r="511" ht="16.5" customHeight="1"/>
    <row r="512" ht="16.5" customHeight="1"/>
    <row r="513" ht="16.5" customHeight="1"/>
    <row r="514" ht="16.5" customHeight="1"/>
    <row r="515" ht="16.5" customHeight="1"/>
    <row r="516" ht="16.5" customHeight="1"/>
    <row r="517" ht="16.5" customHeight="1"/>
    <row r="518" ht="16.5" customHeight="1"/>
    <row r="519" ht="16.5" customHeight="1"/>
    <row r="520" ht="16.5" customHeight="1"/>
    <row r="521" ht="16.5" customHeight="1"/>
    <row r="522" ht="16.5" customHeight="1"/>
    <row r="523" ht="16.5" customHeight="1"/>
    <row r="524" ht="16.5" customHeight="1"/>
    <row r="525" ht="16.5" customHeight="1"/>
    <row r="526" ht="16.5" customHeight="1"/>
    <row r="527" ht="16.5" customHeight="1"/>
    <row r="528" ht="16.5" customHeight="1"/>
    <row r="529" ht="16.5" customHeight="1"/>
    <row r="530" ht="16.5" customHeight="1"/>
    <row r="531" ht="16.5" customHeight="1"/>
    <row r="532" ht="16.5" customHeight="1"/>
    <row r="533" ht="16.5" customHeight="1"/>
    <row r="534" ht="16.5" customHeight="1"/>
    <row r="535" ht="16.5" customHeight="1"/>
    <row r="536" ht="16.5" customHeight="1"/>
    <row r="537" ht="16.5" customHeight="1"/>
    <row r="538" ht="16.5" customHeight="1"/>
    <row r="539" ht="16.5" customHeight="1"/>
    <row r="540" ht="16.5" customHeight="1"/>
    <row r="541" ht="16.5" customHeight="1"/>
    <row r="542" ht="16.5" customHeight="1"/>
    <row r="543" ht="16.5" customHeight="1"/>
    <row r="544" ht="16.5" customHeight="1"/>
    <row r="545" ht="16.5" customHeight="1"/>
    <row r="546" ht="16.5" customHeight="1"/>
    <row r="547" ht="16.5" customHeight="1"/>
    <row r="548" ht="16.5" customHeight="1"/>
    <row r="549" ht="16.5" customHeight="1"/>
    <row r="550" ht="16.5" customHeight="1"/>
    <row r="551" ht="16.5" customHeight="1"/>
    <row r="552" ht="16.5" customHeight="1"/>
    <row r="553" ht="16.5" customHeight="1"/>
    <row r="554" ht="16.5" customHeight="1"/>
    <row r="555" ht="16.5" customHeight="1"/>
    <row r="556" ht="16.5" customHeight="1"/>
    <row r="557" ht="16.5" customHeight="1"/>
    <row r="558" ht="16.5" customHeight="1"/>
    <row r="559" ht="16.5" customHeight="1"/>
    <row r="560" ht="16.5" customHeight="1"/>
    <row r="561" ht="16.5" customHeight="1"/>
    <row r="562" ht="16.5" customHeight="1"/>
    <row r="563" ht="16.5" customHeight="1"/>
    <row r="564" ht="16.5" customHeight="1"/>
    <row r="565" ht="16.5" customHeight="1"/>
    <row r="566" ht="16.5" customHeight="1"/>
    <row r="567" ht="16.5" customHeight="1"/>
    <row r="568" ht="16.5" customHeight="1"/>
    <row r="569" ht="16.5" customHeight="1"/>
    <row r="570" ht="16.5" customHeight="1"/>
    <row r="571" ht="16.5" customHeight="1"/>
    <row r="572" ht="16.5" customHeight="1"/>
    <row r="573" ht="16.5" customHeight="1"/>
    <row r="574" ht="16.5" customHeight="1"/>
    <row r="575" ht="16.5" customHeight="1"/>
    <row r="576" ht="16.5" customHeight="1"/>
    <row r="577" ht="16.5" customHeight="1"/>
    <row r="578" ht="16.5" customHeight="1"/>
    <row r="579" ht="16.5" customHeight="1"/>
    <row r="580" ht="16.5" customHeight="1"/>
    <row r="581" ht="16.5" customHeight="1"/>
    <row r="582" ht="16.5" customHeight="1"/>
    <row r="583" ht="16.5" customHeight="1"/>
    <row r="584" ht="16.5" customHeight="1"/>
    <row r="585" ht="16.5" customHeight="1"/>
    <row r="586" ht="16.5" customHeight="1"/>
    <row r="587" ht="16.5" customHeight="1"/>
    <row r="588" ht="16.5" customHeight="1"/>
    <row r="589" ht="16.5" customHeight="1"/>
    <row r="590" ht="16.5" customHeight="1"/>
    <row r="591" ht="16.5" customHeight="1"/>
    <row r="592" ht="16.5" customHeight="1"/>
    <row r="593" ht="16.5" customHeight="1"/>
    <row r="594" ht="16.5" customHeight="1"/>
    <row r="595" ht="16.5" customHeight="1"/>
    <row r="596" ht="16.5" customHeight="1"/>
    <row r="597" ht="16.5" customHeight="1"/>
    <row r="598" ht="16.5" customHeight="1"/>
    <row r="599" ht="16.5" customHeight="1"/>
    <row r="600" ht="16.5" customHeight="1"/>
    <row r="601" ht="16.5" customHeight="1"/>
    <row r="602" ht="16.5" customHeight="1"/>
    <row r="603" ht="16.5" customHeight="1"/>
    <row r="604" ht="16.5" customHeight="1"/>
    <row r="605" ht="16.5" customHeight="1"/>
    <row r="606" ht="16.5" customHeight="1"/>
    <row r="607" ht="16.5" customHeight="1"/>
    <row r="608" ht="16.5" customHeight="1"/>
    <row r="609" ht="16.5" customHeight="1"/>
    <row r="610" ht="16.5" customHeight="1"/>
    <row r="611" ht="16.5" customHeight="1"/>
    <row r="612" ht="16.5" customHeight="1"/>
    <row r="613" ht="16.5" customHeight="1"/>
    <row r="614" ht="16.5" customHeight="1"/>
    <row r="615" ht="16.5" customHeight="1"/>
    <row r="616" ht="16.5" customHeight="1"/>
    <row r="617" ht="16.5" customHeight="1"/>
    <row r="618" ht="16.5" customHeight="1"/>
    <row r="619" ht="16.5" customHeight="1"/>
    <row r="620" ht="16.5" customHeight="1"/>
    <row r="621" ht="16.5" customHeight="1"/>
    <row r="622" ht="16.5" customHeight="1"/>
    <row r="623" ht="16.5" customHeight="1"/>
    <row r="624" ht="16.5" customHeight="1"/>
    <row r="625" ht="16.5" customHeight="1"/>
    <row r="626" ht="16.5" customHeight="1"/>
    <row r="627" ht="16.5" customHeight="1"/>
    <row r="628" ht="16.5" customHeight="1"/>
    <row r="629" ht="16.5" customHeight="1"/>
    <row r="630" ht="16.5" customHeight="1"/>
    <row r="631" ht="16.5" customHeight="1"/>
    <row r="632" ht="16.5" customHeight="1"/>
    <row r="633" ht="16.5" customHeight="1"/>
    <row r="634" ht="16.5" customHeight="1"/>
    <row r="635" ht="16.5" customHeight="1"/>
    <row r="636" ht="16.5" customHeight="1"/>
    <row r="637" ht="16.5" customHeight="1"/>
    <row r="638" ht="16.5" customHeight="1"/>
    <row r="639" ht="16.5" customHeight="1"/>
    <row r="640" ht="16.5" customHeight="1"/>
    <row r="641" ht="16.5" customHeight="1"/>
    <row r="642" ht="16.5" customHeight="1"/>
    <row r="643" ht="16.5" customHeight="1"/>
    <row r="644" ht="16.5" customHeight="1"/>
    <row r="645" ht="16.5" customHeight="1"/>
    <row r="646" ht="16.5" customHeight="1"/>
    <row r="647" ht="16.5" customHeight="1"/>
    <row r="648" ht="16.5" customHeight="1"/>
    <row r="649" ht="16.5" customHeight="1"/>
    <row r="650" ht="16.5" customHeight="1"/>
    <row r="651" ht="16.5" customHeight="1"/>
    <row r="652" ht="16.5" customHeight="1"/>
    <row r="653" ht="16.5" customHeight="1"/>
    <row r="654" ht="16.5" customHeight="1"/>
    <row r="655" ht="16.5" customHeight="1"/>
    <row r="656" ht="16.5" customHeight="1"/>
    <row r="657" ht="16.5" customHeight="1"/>
    <row r="658" ht="16.5" customHeight="1"/>
    <row r="659" ht="16.5" customHeight="1"/>
    <row r="660" ht="16.5" customHeight="1"/>
    <row r="661" ht="16.5" customHeight="1"/>
    <row r="662" ht="16.5" customHeight="1"/>
    <row r="663" ht="16.5" customHeight="1"/>
    <row r="664" ht="16.5" customHeight="1"/>
    <row r="665" ht="16.5" customHeight="1"/>
    <row r="666" ht="16.5" customHeight="1"/>
    <row r="667" ht="16.5" customHeight="1"/>
    <row r="668" ht="16.5" customHeight="1"/>
    <row r="669" ht="16.5" customHeight="1"/>
    <row r="670" ht="16.5" customHeight="1"/>
    <row r="671" ht="16.5" customHeight="1"/>
    <row r="672" ht="16.5" customHeight="1"/>
    <row r="673" ht="16.5" customHeight="1"/>
    <row r="674" ht="16.5" customHeight="1"/>
    <row r="675" ht="16.5" customHeight="1"/>
    <row r="676" ht="16.5" customHeight="1"/>
    <row r="677" ht="16.5" customHeight="1"/>
    <row r="678" ht="16.5" customHeight="1"/>
    <row r="679" ht="16.5" customHeight="1"/>
    <row r="680" ht="16.5" customHeight="1"/>
    <row r="681" ht="16.5" customHeight="1"/>
    <row r="682" ht="16.5" customHeight="1"/>
    <row r="683" ht="16.5" customHeight="1"/>
    <row r="684" ht="16.5" customHeight="1"/>
    <row r="685" ht="16.5" customHeight="1"/>
    <row r="686" ht="16.5" customHeight="1"/>
    <row r="687" ht="16.5" customHeight="1"/>
    <row r="688" ht="16.5" customHeight="1"/>
    <row r="689" ht="16.5" customHeight="1"/>
    <row r="690" ht="16.5" customHeight="1"/>
    <row r="691" ht="16.5" customHeight="1"/>
    <row r="692" ht="16.5" customHeight="1"/>
    <row r="693" ht="16.5" customHeight="1"/>
    <row r="694" ht="16.5" customHeight="1"/>
    <row r="695" ht="16.5" customHeight="1"/>
    <row r="696" ht="16.5" customHeight="1"/>
    <row r="697" ht="16.5" customHeight="1"/>
    <row r="698" ht="16.5" customHeight="1"/>
    <row r="699" ht="16.5" customHeight="1"/>
    <row r="700" ht="16.5" customHeight="1"/>
    <row r="701" ht="16.5" customHeight="1"/>
    <row r="702" ht="16.5" customHeight="1"/>
    <row r="703" ht="16.5" customHeight="1"/>
    <row r="704" ht="16.5" customHeight="1"/>
    <row r="705" ht="16.5" customHeight="1"/>
    <row r="706" ht="16.5" customHeight="1"/>
    <row r="707" ht="16.5" customHeight="1"/>
    <row r="708" ht="16.5" customHeight="1"/>
    <row r="709" ht="16.5" customHeight="1"/>
    <row r="710" ht="16.5" customHeight="1"/>
    <row r="711" ht="16.5" customHeight="1"/>
    <row r="712" ht="16.5" customHeight="1"/>
    <row r="713" ht="16.5" customHeight="1"/>
    <row r="714" ht="16.5" customHeight="1"/>
    <row r="715" ht="16.5" customHeight="1"/>
    <row r="716" ht="16.5" customHeight="1"/>
    <row r="717" ht="16.5" customHeight="1"/>
    <row r="718" ht="16.5" customHeight="1"/>
    <row r="719" ht="16.5" customHeight="1"/>
    <row r="720" ht="16.5" customHeight="1"/>
    <row r="721" ht="16.5" customHeight="1"/>
    <row r="722" ht="16.5" customHeight="1"/>
    <row r="723" ht="16.5" customHeight="1"/>
    <row r="724" ht="16.5" customHeight="1"/>
    <row r="725" ht="16.5" customHeight="1"/>
    <row r="726" ht="16.5" customHeight="1"/>
    <row r="727" ht="16.5" customHeight="1"/>
    <row r="728" ht="16.5" customHeight="1"/>
    <row r="729" ht="16.5" customHeight="1"/>
    <row r="730" ht="16.5" customHeight="1"/>
    <row r="731" ht="16.5" customHeight="1"/>
    <row r="732" ht="16.5" customHeight="1"/>
    <row r="733" ht="16.5" customHeight="1"/>
    <row r="734" ht="16.5" customHeight="1"/>
    <row r="735" ht="16.5" customHeight="1"/>
    <row r="736" ht="16.5" customHeight="1"/>
    <row r="737" ht="16.5" customHeight="1"/>
    <row r="738" ht="16.5" customHeight="1"/>
    <row r="739" ht="16.5" customHeight="1"/>
    <row r="740" ht="16.5" customHeight="1"/>
    <row r="741" ht="16.5" customHeight="1"/>
    <row r="742" ht="16.5" customHeight="1"/>
    <row r="743" ht="16.5" customHeight="1"/>
    <row r="744" ht="16.5" customHeight="1"/>
    <row r="745" ht="16.5" customHeight="1"/>
    <row r="746" ht="16.5" customHeight="1"/>
    <row r="747" ht="16.5" customHeight="1"/>
    <row r="748" ht="16.5" customHeight="1"/>
    <row r="749" ht="16.5" customHeight="1"/>
    <row r="750" ht="16.5" customHeight="1"/>
    <row r="751" ht="16.5" customHeight="1"/>
    <row r="752" ht="16.5" customHeight="1"/>
    <row r="753" ht="16.5" customHeight="1"/>
    <row r="754" ht="16.5" customHeight="1"/>
    <row r="755" ht="16.5" customHeight="1"/>
    <row r="756" ht="16.5" customHeight="1"/>
    <row r="757" ht="16.5" customHeight="1"/>
    <row r="758" ht="16.5" customHeight="1"/>
    <row r="759" ht="16.5" customHeight="1"/>
    <row r="760" ht="16.5" customHeight="1"/>
    <row r="761" ht="16.5" customHeight="1"/>
    <row r="762" ht="16.5" customHeight="1"/>
    <row r="763" ht="16.5" customHeight="1"/>
    <row r="764" ht="16.5" customHeight="1"/>
    <row r="765" ht="16.5" customHeight="1"/>
    <row r="766" ht="16.5" customHeight="1"/>
    <row r="767" ht="16.5" customHeight="1"/>
    <row r="768" ht="16.5" customHeight="1"/>
    <row r="769" ht="16.5" customHeight="1"/>
    <row r="770" ht="16.5" customHeight="1"/>
    <row r="771" ht="16.5" customHeight="1"/>
    <row r="772" ht="16.5" customHeight="1"/>
    <row r="773" ht="16.5" customHeight="1"/>
    <row r="774" ht="16.5" customHeight="1"/>
    <row r="775" ht="16.5" customHeight="1"/>
    <row r="776" ht="16.5" customHeight="1"/>
    <row r="777" ht="16.5" customHeight="1"/>
    <row r="778" ht="16.5" customHeight="1"/>
    <row r="779" ht="16.5" customHeight="1"/>
    <row r="780" ht="16.5" customHeight="1"/>
    <row r="781" ht="16.5" customHeight="1"/>
    <row r="782" ht="16.5" customHeight="1"/>
    <row r="783" ht="16.5" customHeight="1"/>
    <row r="784" ht="16.5" customHeight="1"/>
    <row r="785" ht="16.5" customHeight="1"/>
    <row r="786" ht="16.5" customHeight="1"/>
    <row r="787" ht="16.5" customHeight="1"/>
    <row r="788" ht="16.5" customHeight="1"/>
    <row r="789" ht="16.5" customHeight="1"/>
    <row r="790" ht="16.5" customHeight="1"/>
    <row r="791" ht="16.5" customHeight="1"/>
    <row r="792" ht="16.5" customHeight="1"/>
    <row r="793" ht="16.5" customHeight="1"/>
    <row r="794" ht="16.5" customHeight="1"/>
    <row r="795" ht="16.5" customHeight="1"/>
    <row r="796" ht="16.5" customHeight="1"/>
    <row r="797" ht="16.5" customHeight="1"/>
    <row r="798" ht="16.5" customHeight="1"/>
    <row r="799" ht="16.5" customHeight="1"/>
    <row r="800" ht="16.5" customHeight="1"/>
    <row r="801" ht="16.5" customHeight="1"/>
    <row r="802" ht="16.5" customHeight="1"/>
    <row r="803" ht="16.5" customHeight="1"/>
    <row r="804" ht="16.5" customHeight="1"/>
    <row r="805" ht="16.5" customHeight="1"/>
    <row r="806" ht="16.5" customHeight="1"/>
    <row r="807" ht="16.5" customHeight="1"/>
    <row r="808" ht="16.5" customHeight="1"/>
    <row r="809" ht="16.5" customHeight="1"/>
    <row r="810" ht="16.5" customHeight="1"/>
    <row r="811" ht="16.5" customHeight="1"/>
    <row r="812" ht="16.5" customHeight="1"/>
    <row r="813" ht="16.5" customHeight="1"/>
    <row r="814" ht="16.5" customHeight="1"/>
    <row r="815" ht="16.5" customHeight="1"/>
    <row r="816" ht="16.5" customHeight="1"/>
    <row r="817" ht="16.5" customHeight="1"/>
    <row r="818" ht="16.5" customHeight="1"/>
    <row r="819" ht="16.5" customHeight="1"/>
    <row r="820" ht="16.5" customHeight="1"/>
    <row r="821" ht="16.5" customHeight="1"/>
    <row r="822" ht="16.5" customHeight="1"/>
    <row r="823" ht="16.5" customHeight="1"/>
    <row r="824" ht="16.5" customHeight="1"/>
    <row r="825" ht="16.5" customHeight="1"/>
    <row r="826" ht="16.5" customHeight="1"/>
    <row r="827" ht="16.5" customHeight="1"/>
    <row r="828" ht="16.5" customHeight="1"/>
    <row r="829" ht="16.5" customHeight="1"/>
    <row r="830" ht="16.5" customHeight="1"/>
    <row r="831" ht="16.5" customHeight="1"/>
    <row r="832" ht="16.5" customHeight="1"/>
    <row r="833" ht="16.5" customHeight="1"/>
    <row r="834" ht="16.5" customHeight="1"/>
    <row r="835" ht="16.5" customHeight="1"/>
    <row r="836" ht="16.5" customHeight="1"/>
    <row r="837" ht="16.5" customHeight="1"/>
    <row r="838" ht="16.5" customHeight="1"/>
    <row r="839" ht="16.5" customHeight="1"/>
    <row r="840" ht="16.5" customHeight="1"/>
    <row r="841" ht="16.5" customHeight="1"/>
    <row r="842" ht="16.5" customHeight="1"/>
    <row r="843" ht="16.5" customHeight="1"/>
    <row r="844" ht="16.5" customHeight="1"/>
    <row r="845" ht="16.5" customHeight="1"/>
    <row r="846" ht="16.5" customHeight="1"/>
    <row r="847" ht="16.5" customHeight="1"/>
    <row r="848" ht="16.5" customHeight="1"/>
    <row r="849" ht="16.5" customHeight="1"/>
    <row r="850" ht="16.5" customHeight="1"/>
    <row r="851" ht="16.5" customHeight="1"/>
    <row r="852" ht="16.5" customHeight="1"/>
    <row r="853" ht="16.5" customHeight="1"/>
    <row r="854" ht="16.5" customHeight="1"/>
    <row r="855" ht="16.5" customHeight="1"/>
    <row r="856" ht="16.5" customHeight="1"/>
    <row r="857" ht="16.5" customHeight="1"/>
    <row r="858" ht="16.5" customHeight="1"/>
    <row r="859" ht="16.5" customHeight="1"/>
    <row r="860" ht="16.5" customHeight="1"/>
    <row r="861" ht="16.5" customHeight="1"/>
    <row r="862" ht="16.5" customHeight="1"/>
    <row r="863" ht="16.5" customHeight="1"/>
    <row r="864" ht="16.5" customHeight="1"/>
    <row r="865" ht="16.5" customHeight="1"/>
    <row r="866" ht="16.5" customHeight="1"/>
    <row r="867" ht="16.5" customHeight="1"/>
    <row r="868" ht="16.5" customHeight="1"/>
    <row r="869" ht="16.5" customHeight="1"/>
    <row r="870" ht="16.5" customHeight="1"/>
    <row r="871" ht="16.5" customHeight="1"/>
    <row r="872" ht="16.5" customHeight="1"/>
    <row r="873" ht="16.5" customHeight="1"/>
    <row r="874" ht="16.5" customHeight="1"/>
    <row r="875" ht="16.5" customHeight="1"/>
    <row r="876" ht="16.5" customHeight="1"/>
    <row r="877" ht="16.5" customHeight="1"/>
    <row r="878" ht="16.5" customHeight="1"/>
    <row r="879" ht="16.5" customHeight="1"/>
    <row r="880" ht="16.5" customHeight="1"/>
    <row r="881" ht="16.5" customHeight="1"/>
    <row r="882" ht="16.5" customHeight="1"/>
    <row r="883" ht="16.5" customHeight="1"/>
    <row r="884" ht="16.5" customHeight="1"/>
    <row r="885" ht="16.5" customHeight="1"/>
    <row r="886" ht="16.5" customHeight="1"/>
    <row r="887" ht="16.5" customHeight="1"/>
    <row r="888" ht="16.5" customHeight="1"/>
    <row r="889" ht="16.5" customHeight="1"/>
    <row r="890" ht="16.5" customHeight="1"/>
    <row r="891" ht="16.5" customHeight="1"/>
    <row r="892" ht="16.5" customHeight="1"/>
    <row r="893" ht="16.5" customHeight="1"/>
    <row r="894" ht="16.5" customHeight="1"/>
    <row r="895" ht="16.5" customHeight="1"/>
    <row r="896" ht="16.5" customHeight="1"/>
    <row r="897" ht="16.5" customHeight="1"/>
    <row r="898" ht="16.5" customHeight="1"/>
    <row r="899" ht="16.5" customHeight="1"/>
    <row r="900" ht="16.5" customHeight="1"/>
    <row r="901" ht="16.5" customHeight="1"/>
    <row r="902" ht="16.5" customHeight="1"/>
    <row r="903" ht="16.5" customHeight="1"/>
    <row r="904" ht="16.5" customHeight="1"/>
    <row r="905" ht="16.5" customHeight="1"/>
    <row r="906" ht="16.5" customHeight="1"/>
    <row r="907" ht="16.5" customHeight="1"/>
    <row r="908" ht="16.5" customHeight="1"/>
    <row r="909" ht="16.5" customHeight="1"/>
    <row r="910" ht="16.5" customHeight="1"/>
    <row r="911" ht="16.5" customHeight="1"/>
    <row r="912" ht="16.5" customHeight="1"/>
    <row r="913" ht="16.5" customHeight="1"/>
    <row r="914" ht="16.5" customHeight="1"/>
    <row r="915" ht="16.5" customHeight="1"/>
    <row r="916" ht="16.5" customHeight="1"/>
    <row r="917" ht="16.5" customHeight="1"/>
    <row r="918" ht="16.5" customHeight="1"/>
    <row r="919" ht="16.5" customHeight="1"/>
    <row r="920" ht="16.5" customHeight="1"/>
    <row r="921" ht="16.5" customHeight="1"/>
    <row r="922" ht="16.5" customHeight="1"/>
    <row r="923" ht="16.5" customHeight="1"/>
    <row r="924" ht="16.5" customHeight="1"/>
    <row r="925" ht="16.5" customHeight="1"/>
    <row r="926" ht="16.5" customHeight="1"/>
    <row r="927" ht="16.5" customHeight="1"/>
    <row r="928" ht="16.5" customHeight="1"/>
    <row r="929" ht="16.5" customHeight="1"/>
    <row r="930" ht="16.5" customHeight="1"/>
    <row r="931" ht="16.5" customHeight="1"/>
    <row r="932" ht="16.5" customHeight="1"/>
    <row r="933" ht="16.5" customHeight="1"/>
    <row r="934" ht="16.5" customHeight="1"/>
    <row r="935" ht="16.5" customHeight="1"/>
    <row r="936" ht="16.5" customHeight="1"/>
    <row r="937" ht="16.5" customHeight="1"/>
    <row r="938" ht="16.5" customHeight="1"/>
    <row r="939" ht="16.5" customHeight="1"/>
    <row r="940" ht="16.5" customHeight="1"/>
    <row r="941" ht="16.5" customHeight="1"/>
    <row r="942" ht="16.5" customHeight="1"/>
    <row r="943" ht="16.5" customHeight="1"/>
    <row r="944" ht="16.5" customHeight="1"/>
    <row r="945" ht="16.5" customHeight="1"/>
    <row r="946" ht="16.5" customHeight="1"/>
    <row r="947" ht="16.5" customHeight="1"/>
    <row r="948" ht="16.5" customHeight="1"/>
    <row r="949" ht="16.5" customHeight="1"/>
    <row r="950" ht="16.5" customHeight="1"/>
    <row r="951" ht="16.5" customHeight="1"/>
    <row r="952" ht="16.5" customHeight="1"/>
    <row r="953" ht="16.5" customHeight="1"/>
    <row r="954" ht="16.5" customHeight="1"/>
    <row r="955" ht="16.5" customHeight="1"/>
    <row r="956" ht="16.5" customHeight="1"/>
    <row r="957" ht="16.5" customHeight="1"/>
    <row r="958" ht="16.5" customHeight="1"/>
    <row r="959" ht="16.5" customHeight="1"/>
    <row r="960" ht="16.5" customHeight="1"/>
    <row r="961" ht="16.5" customHeight="1"/>
    <row r="962" ht="16.5" customHeight="1"/>
    <row r="963" ht="16.5" customHeight="1"/>
    <row r="964" ht="16.5" customHeight="1"/>
    <row r="965" ht="16.5" customHeight="1"/>
    <row r="966" ht="16.5" customHeight="1"/>
    <row r="967" ht="16.5" customHeight="1"/>
    <row r="968" ht="16.5" customHeight="1"/>
    <row r="969" ht="16.5" customHeight="1"/>
    <row r="970" ht="16.5" customHeight="1"/>
    <row r="971" ht="16.5" customHeight="1"/>
    <row r="972" ht="16.5" customHeight="1"/>
    <row r="973" ht="16.5" customHeight="1"/>
    <row r="974" ht="16.5" customHeight="1"/>
    <row r="975" ht="16.5" customHeight="1"/>
    <row r="976" ht="16.5" customHeight="1"/>
    <row r="977" ht="16.5" customHeight="1"/>
    <row r="978" ht="16.5" customHeight="1"/>
    <row r="979" ht="16.5" customHeight="1"/>
    <row r="980" ht="16.5" customHeight="1"/>
    <row r="981" ht="16.5" customHeight="1"/>
    <row r="982" ht="16.5" customHeight="1"/>
    <row r="983" ht="16.5" customHeight="1"/>
    <row r="984" ht="16.5" customHeight="1"/>
    <row r="985" ht="16.5" customHeight="1"/>
    <row r="986" ht="16.5" customHeight="1"/>
    <row r="987" ht="16.5" customHeight="1"/>
    <row r="988" ht="16.5" customHeight="1"/>
    <row r="989" ht="16.5" customHeight="1"/>
    <row r="990" ht="16.5" customHeight="1"/>
    <row r="991" ht="16.5" customHeight="1"/>
    <row r="992" ht="16.5" customHeight="1"/>
    <row r="993" ht="16.5" customHeight="1"/>
    <row r="994" ht="16.5" customHeight="1"/>
    <row r="995" ht="16.5" customHeight="1"/>
    <row r="996" ht="16.5" customHeight="1"/>
    <row r="997" ht="16.5" customHeight="1"/>
    <row r="998" ht="16.5" customHeight="1"/>
    <row r="999" ht="16.5" customHeight="1"/>
    <row r="1000" ht="16.5" customHeight="1"/>
  </sheetData>
  <phoneticPr fontId="6" type="noConversion"/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보고서</vt:lpstr>
      <vt:lpstr>RAW_DATA</vt:lpstr>
      <vt:lpstr>보고서!Print_Area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김우현</dc:creator>
  <cp:lastModifiedBy>우현 김</cp:lastModifiedBy>
  <cp:lastPrinted>2025-11-09T12:44:48Z</cp:lastPrinted>
  <dcterms:created xsi:type="dcterms:W3CDTF">2023-10-14T09:19:32Z</dcterms:created>
  <dcterms:modified xsi:type="dcterms:W3CDTF">2025-11-09T12:47:27Z</dcterms:modified>
</cp:coreProperties>
</file>